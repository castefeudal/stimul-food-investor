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Начать здесь" sheetId="1" state="visible" r:id="rId3"/>
    <sheet name="Исходные данные" sheetId="2" state="visible" r:id="rId4"/>
    <sheet name="Экономика дня" sheetId="3" state="visible" r:id="rId5"/>
    <sheet name="Меню и себестоимость" sheetId="4" state="visible" r:id="rId6"/>
    <sheet name="Воронка продаж" sheetId="5" state="visible" r:id="rId7"/>
    <sheet name="План 36 месяцев" sheetId="6" state="visible" r:id="rId8"/>
    <sheet name="Движение денег" sheetId="7" state="visible" r:id="rId9"/>
    <sheet name="Первые 13 недель" sheetId="8" state="visible" r:id="rId10"/>
    <sheet name="Потребность в деньгах" sheetId="9" state="visible" r:id="rId11"/>
    <sheet name="Чувствительность" sheetId="10" state="visible" r:id="rId12"/>
    <sheet name="Контроль" sheetId="11" state="visible" r:id="rId13"/>
    <sheet name="Источники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<sst xmlns="http://schemas.openxmlformats.org/spreadsheetml/2006/main" count="775" uniqueCount="455">
  <si>
    <t xml:space="preserve">STIMUL FOOD — финансовая модель</t>
  </si>
  <si>
    <t xml:space="preserve">36 месяцев + первые 13 недель. Все прогнозы являются расчётной моделью и заменяются фактическими данными по мере запуска.</t>
  </si>
  <si>
    <t xml:space="preserve">Что менять</t>
  </si>
  <si>
    <t xml:space="preserve">Только синие ячейки на листе «Исходные данные». Формулы не перезаписывать.</t>
  </si>
  <si>
    <t xml:space="preserve">Основной вывод</t>
  </si>
  <si>
    <t xml:space="preserve">При цене и целевых закупочных условиях проект выходит на операционную безубыточность примерно при 45–50 рационах в рабочий день.</t>
  </si>
  <si>
    <t xml:space="preserve">Потребность в финансировании</t>
  </si>
  <si>
    <t xml:space="preserve">68,000 бел. руб. — расчётный бюджет запуска, производства, продвижения и оборотного капитала.</t>
  </si>
  <si>
    <t xml:space="preserve">Приоритет</t>
  </si>
  <si>
    <t xml:space="preserve">Сначала подтвердить кухню, выходы и фактическую себестоимость; затем увеличивать рекламный бюджет.</t>
  </si>
  <si>
    <t xml:space="preserve">Исходные данные</t>
  </si>
  <si>
    <t xml:space="preserve">Синие значения можно менять. Жёлтая заливка означает: требуется подтвердить договором, коммерческим предложением или пилотом.</t>
  </si>
  <si>
    <t xml:space="preserve">Код</t>
  </si>
  <si>
    <t xml:space="preserve">Показатель</t>
  </si>
  <si>
    <t xml:space="preserve">Осторожный</t>
  </si>
  <si>
    <t xml:space="preserve">Основной</t>
  </si>
  <si>
    <t xml:space="preserve">Успешный</t>
  </si>
  <si>
    <t xml:space="preserve">Единица</t>
  </si>
  <si>
    <t xml:space="preserve">Источник/логика</t>
  </si>
  <si>
    <t xml:space="preserve">Комментарий</t>
  </si>
  <si>
    <t xml:space="preserve">Выбранный сценарий</t>
  </si>
  <si>
    <t xml:space="preserve">A01</t>
  </si>
  <si>
    <t xml:space="preserve">Средняя цена дня</t>
  </si>
  <si>
    <t xml:space="preserve">бел. руб.</t>
  </si>
  <si>
    <t xml:space="preserve">Цены пакетов</t>
  </si>
  <si>
    <t xml:space="preserve">A02</t>
  </si>
  <si>
    <t xml:space="preserve">Сырьё при малом объёме</t>
  </si>
  <si>
    <t xml:space="preserve">бел. руб./день</t>
  </si>
  <si>
    <t xml:space="preserve">Меню и открытые цены</t>
  </si>
  <si>
    <t xml:space="preserve">Сырьё при устойчивом объёме</t>
  </si>
  <si>
    <t xml:space="preserve">Оптовый расчёт</t>
  </si>
  <si>
    <t xml:space="preserve">Требуется КП</t>
  </si>
  <si>
    <t xml:space="preserve">Выбранное значение</t>
  </si>
  <si>
    <t xml:space="preserve">A04</t>
  </si>
  <si>
    <t xml:space="preserve">Кухня при малом объёме</t>
  </si>
  <si>
    <t xml:space="preserve">Диапазон переговоров</t>
  </si>
  <si>
    <t xml:space="preserve">A05</t>
  </si>
  <si>
    <t xml:space="preserve">Кухня при устойчивом объёме</t>
  </si>
  <si>
    <t xml:space="preserve">A06</t>
  </si>
  <si>
    <t xml:space="preserve">Упаковка при малом объёме</t>
  </si>
  <si>
    <t xml:space="preserve">5 контейнеров + этикетки + общий пакет</t>
  </si>
  <si>
    <t xml:space="preserve">A03</t>
  </si>
  <si>
    <t xml:space="preserve">A07</t>
  </si>
  <si>
    <t xml:space="preserve">Упаковка при устойчивом объёме</t>
  </si>
  <si>
    <t xml:space="preserve">A08</t>
  </si>
  <si>
    <t xml:space="preserve">Доставка при малом объёме</t>
  </si>
  <si>
    <t xml:space="preserve">Маршрутный расчёт</t>
  </si>
  <si>
    <t xml:space="preserve">Требуется тест</t>
  </si>
  <si>
    <t xml:space="preserve">A09</t>
  </si>
  <si>
    <t xml:space="preserve">Доставка при устойчивом объёме</t>
  </si>
  <si>
    <t xml:space="preserve">Плотность маршрута</t>
  </si>
  <si>
    <t xml:space="preserve">A10</t>
  </si>
  <si>
    <t xml:space="preserve">Прочие переменные расходы</t>
  </si>
  <si>
    <t xml:space="preserve">Расходники и поддержка</t>
  </si>
  <si>
    <t xml:space="preserve">A11</t>
  </si>
  <si>
    <t xml:space="preserve">Списания и отклонения</t>
  </si>
  <si>
    <t xml:space="preserve">% сырья</t>
  </si>
  <si>
    <t xml:space="preserve">Целевой уровень</t>
  </si>
  <si>
    <t xml:space="preserve">A12</t>
  </si>
  <si>
    <t xml:space="preserve">Комиссия оплаты</t>
  </si>
  <si>
    <t xml:space="preserve">% выручки</t>
  </si>
  <si>
    <t xml:space="preserve">Платёжный провайдер</t>
  </si>
  <si>
    <t xml:space="preserve">A13</t>
  </si>
  <si>
    <t xml:space="preserve">Налоговый сценарий</t>
  </si>
  <si>
    <t xml:space="preserve">Зависит от формы бизнеса</t>
  </si>
  <si>
    <t xml:space="preserve">Проверить с бухгалтером</t>
  </si>
  <si>
    <t xml:space="preserve">A14</t>
  </si>
  <si>
    <t xml:space="preserve">Стоимость заявки</t>
  </si>
  <si>
    <t xml:space="preserve">бел. руб./заявка</t>
  </si>
  <si>
    <t xml:space="preserve">Рекламный тест</t>
  </si>
  <si>
    <t xml:space="preserve">A15</t>
  </si>
  <si>
    <t xml:space="preserve">Заявка → первый заказ</t>
  </si>
  <si>
    <t xml:space="preserve">%</t>
  </si>
  <si>
    <t xml:space="preserve">A16</t>
  </si>
  <si>
    <t xml:space="preserve">Повтор в следующем месяце</t>
  </si>
  <si>
    <t xml:space="preserve">Пилот</t>
  </si>
  <si>
    <t xml:space="preserve">A17</t>
  </si>
  <si>
    <t xml:space="preserve">Повтор во втором месяце</t>
  </si>
  <si>
    <t xml:space="preserve">A18</t>
  </si>
  <si>
    <t xml:space="preserve">Долгий повтор</t>
  </si>
  <si>
    <t xml:space="preserve">A19</t>
  </si>
  <si>
    <t xml:space="preserve">Рацион-дней на активного клиента</t>
  </si>
  <si>
    <t xml:space="preserve">дней/мес</t>
  </si>
  <si>
    <t xml:space="preserve">A20</t>
  </si>
  <si>
    <t xml:space="preserve">Рабочих дней</t>
  </si>
  <si>
    <t xml:space="preserve">Календарь</t>
  </si>
  <si>
    <t xml:space="preserve">A21</t>
  </si>
  <si>
    <t xml:space="preserve">Постоянные расходы на зрелом этапе</t>
  </si>
  <si>
    <t xml:space="preserve">бел. руб./мес</t>
  </si>
  <si>
    <t xml:space="preserve">Штат, программы, управление</t>
  </si>
  <si>
    <t xml:space="preserve">A22</t>
  </si>
  <si>
    <t xml:space="preserve">Целевой денежный резерв</t>
  </si>
  <si>
    <t xml:space="preserve">Управленческий резерв</t>
  </si>
  <si>
    <t xml:space="preserve">Экономика одного рациона</t>
  </si>
  <si>
    <t xml:space="preserve">Сравнение пилотного и устойчивого объёма. Показатели автоматически берутся из выбранного сценария.</t>
  </si>
  <si>
    <t xml:space="preserve">Пилот: малый объём</t>
  </si>
  <si>
    <t xml:space="preserve">Устойчивый объём</t>
  </si>
  <si>
    <t xml:space="preserve">Доля в цене</t>
  </si>
  <si>
    <t xml:space="preserve">Контроль</t>
  </si>
  <si>
    <t xml:space="preserve">Средняя цена</t>
  </si>
  <si>
    <t xml:space="preserve">Сырьё</t>
  </si>
  <si>
    <t xml:space="preserve">Работа кухни</t>
  </si>
  <si>
    <t xml:space="preserve">Упаковка</t>
  </si>
  <si>
    <t xml:space="preserve">Доставка</t>
  </si>
  <si>
    <t xml:space="preserve">Прочие переменные</t>
  </si>
  <si>
    <t xml:space="preserve">Списания</t>
  </si>
  <si>
    <t xml:space="preserve">Переменные расходы</t>
  </si>
  <si>
    <t xml:space="preserve">Вклад на покрытие</t>
  </si>
  <si>
    <t xml:space="preserve">Маржа вклада</t>
  </si>
  <si>
    <t xml:space="preserve">Цель устойчивого объёма: не ниже 25%</t>
  </si>
  <si>
    <t xml:space="preserve">Точка безубыточности в месяц</t>
  </si>
  <si>
    <t xml:space="preserve">рацион-дней</t>
  </si>
  <si>
    <t xml:space="preserve">Точка безубыточности в день</t>
  </si>
  <si>
    <t xml:space="preserve">рационов/день</t>
  </si>
  <si>
    <t xml:space="preserve">STIMUL FOOD — меню и себестоимость 70 блюд</t>
  </si>
  <si>
    <t xml:space="preserve">Связующий лист: названия, пищевые показатели и стоимость полностью совпадают с основным меню и сайтами.</t>
  </si>
  <si>
    <t xml:space="preserve">День</t>
  </si>
  <si>
    <t xml:space="preserve">Приём</t>
  </si>
  <si>
    <t xml:space="preserve">Название</t>
  </si>
  <si>
    <t xml:space="preserve">Ккал</t>
  </si>
  <si>
    <t xml:space="preserve">Белки</t>
  </si>
  <si>
    <t xml:space="preserve">Жиры</t>
  </si>
  <si>
    <t xml:space="preserve">Углеводы</t>
  </si>
  <si>
    <t xml:space="preserve">Розница</t>
  </si>
  <si>
    <t xml:space="preserve">Малый объём</t>
  </si>
  <si>
    <t xml:space="preserve">Опт</t>
  </si>
  <si>
    <t xml:space="preserve">Статус</t>
  </si>
  <si>
    <t xml:space="preserve">SF-D01-M01</t>
  </si>
  <si>
    <t xml:space="preserve">Завтрак</t>
  </si>
  <si>
    <t xml:space="preserve">Овсяная каша с ягодами</t>
  </si>
  <si>
    <t xml:space="preserve">Расчёт</t>
  </si>
  <si>
    <t xml:space="preserve">SF-D01-M02</t>
  </si>
  <si>
    <t xml:space="preserve">Второй завтрак</t>
  </si>
  <si>
    <t xml:space="preserve">Творожный крем с яблоком</t>
  </si>
  <si>
    <t xml:space="preserve">SF-D01-M03</t>
  </si>
  <si>
    <t xml:space="preserve">Обед</t>
  </si>
  <si>
    <t xml:space="preserve">Индейка, гречка и овощи</t>
  </si>
  <si>
    <t xml:space="preserve">SF-D01-M04</t>
  </si>
  <si>
    <t xml:space="preserve">Полдник</t>
  </si>
  <si>
    <t xml:space="preserve">Салат с зеленью</t>
  </si>
  <si>
    <t xml:space="preserve">SF-D01-M05</t>
  </si>
  <si>
    <t xml:space="preserve">Ужин</t>
  </si>
  <si>
    <t xml:space="preserve">Рыба с картофелем</t>
  </si>
  <si>
    <t xml:space="preserve">SF-D02-M01</t>
  </si>
  <si>
    <t xml:space="preserve">Сырники и йогурт</t>
  </si>
  <si>
    <t xml:space="preserve">SF-D02-M02</t>
  </si>
  <si>
    <t xml:space="preserve">Груша и ореховый крем</t>
  </si>
  <si>
    <t xml:space="preserve">SF-D02-M03</t>
  </si>
  <si>
    <t xml:space="preserve">Курица с булгуром</t>
  </si>
  <si>
    <t xml:space="preserve">SF-D02-M04</t>
  </si>
  <si>
    <t xml:space="preserve">Овощные палочки с соусом</t>
  </si>
  <si>
    <t xml:space="preserve">SF-D02-M05</t>
  </si>
  <si>
    <t xml:space="preserve">Паста с овощами</t>
  </si>
  <si>
    <t xml:space="preserve">SF-D03-M01</t>
  </si>
  <si>
    <t xml:space="preserve">Омлет со шпинатом</t>
  </si>
  <si>
    <t xml:space="preserve">SF-D03-M02</t>
  </si>
  <si>
    <t xml:space="preserve">Творог с ягодами</t>
  </si>
  <si>
    <t xml:space="preserve">SF-D03-M03</t>
  </si>
  <si>
    <t xml:space="preserve">Тефтели с рисом</t>
  </si>
  <si>
    <t xml:space="preserve">SF-D03-M04</t>
  </si>
  <si>
    <t xml:space="preserve">Салат из свежих овощей</t>
  </si>
  <si>
    <t xml:space="preserve">SF-D03-M05</t>
  </si>
  <si>
    <t xml:space="preserve">Треска с пюре</t>
  </si>
  <si>
    <t xml:space="preserve">SF-D04-M01</t>
  </si>
  <si>
    <t xml:space="preserve">Гранола с творогом</t>
  </si>
  <si>
    <t xml:space="preserve">SF-D04-M02</t>
  </si>
  <si>
    <t xml:space="preserve">Яблоко и йогурт</t>
  </si>
  <si>
    <t xml:space="preserve">SF-D04-M03</t>
  </si>
  <si>
    <t xml:space="preserve">Говядина с киноа</t>
  </si>
  <si>
    <t xml:space="preserve">SF-D04-M04</t>
  </si>
  <si>
    <t xml:space="preserve">Хумус с овощами</t>
  </si>
  <si>
    <t xml:space="preserve">SF-D04-M05</t>
  </si>
  <si>
    <t xml:space="preserve">Курица с овощами</t>
  </si>
  <si>
    <t xml:space="preserve">SF-D05-M01</t>
  </si>
  <si>
    <t xml:space="preserve">Рисовая каша с фруктами</t>
  </si>
  <si>
    <t xml:space="preserve">SF-D05-M02</t>
  </si>
  <si>
    <t xml:space="preserve">Творожный мусс</t>
  </si>
  <si>
    <t xml:space="preserve">SF-D05-M03</t>
  </si>
  <si>
    <t xml:space="preserve">Индейка с пастой</t>
  </si>
  <si>
    <t xml:space="preserve">SF-D05-M04</t>
  </si>
  <si>
    <t xml:space="preserve">Салат с тыквой</t>
  </si>
  <si>
    <t xml:space="preserve">SF-D05-M05</t>
  </si>
  <si>
    <t xml:space="preserve">Рыба с гречкой</t>
  </si>
  <si>
    <t xml:space="preserve">SF-D06-M01</t>
  </si>
  <si>
    <t xml:space="preserve">Омлет и овощи</t>
  </si>
  <si>
    <t xml:space="preserve">SF-D06-M02</t>
  </si>
  <si>
    <t xml:space="preserve">Йогурт с гранолой</t>
  </si>
  <si>
    <t xml:space="preserve">SF-D06-M03</t>
  </si>
  <si>
    <t xml:space="preserve">Курица с картофелем</t>
  </si>
  <si>
    <t xml:space="preserve">SF-D06-M04</t>
  </si>
  <si>
    <t xml:space="preserve">Фруктовый перекус</t>
  </si>
  <si>
    <t xml:space="preserve">SF-D06-M05</t>
  </si>
  <si>
    <t xml:space="preserve">Паста болоньезе</t>
  </si>
  <si>
    <t xml:space="preserve">SF-D07-M01</t>
  </si>
  <si>
    <t xml:space="preserve">Сырники с ягодами</t>
  </si>
  <si>
    <t xml:space="preserve">SF-D07-M02</t>
  </si>
  <si>
    <t xml:space="preserve">Творог с грушей</t>
  </si>
  <si>
    <t xml:space="preserve">SF-D07-M03</t>
  </si>
  <si>
    <t xml:space="preserve">Говядина с булгуром</t>
  </si>
  <si>
    <t xml:space="preserve">SF-D07-M04</t>
  </si>
  <si>
    <t xml:space="preserve">Салат коул-слоу</t>
  </si>
  <si>
    <t xml:space="preserve">SF-D07-M05</t>
  </si>
  <si>
    <t xml:space="preserve">Треска с овощами</t>
  </si>
  <si>
    <t xml:space="preserve">SF-D08-M01</t>
  </si>
  <si>
    <t xml:space="preserve">Овсяная каша с яблоком</t>
  </si>
  <si>
    <t xml:space="preserve">SF-D08-M02</t>
  </si>
  <si>
    <t xml:space="preserve">Йогурт и ягоды</t>
  </si>
  <si>
    <t xml:space="preserve">SF-D08-M03</t>
  </si>
  <si>
    <t xml:space="preserve">Индейка с рисом</t>
  </si>
  <si>
    <t xml:space="preserve">SF-D08-M04</t>
  </si>
  <si>
    <t xml:space="preserve">Овощи с соусом</t>
  </si>
  <si>
    <t xml:space="preserve">SF-D08-M05</t>
  </si>
  <si>
    <t xml:space="preserve">Курица с пюре</t>
  </si>
  <si>
    <t xml:space="preserve">SF-D09-M01</t>
  </si>
  <si>
    <t xml:space="preserve">Творожная запеканка</t>
  </si>
  <si>
    <t xml:space="preserve">SF-D09-M02</t>
  </si>
  <si>
    <t xml:space="preserve">Фруктовый салат</t>
  </si>
  <si>
    <t xml:space="preserve">SF-D09-M03</t>
  </si>
  <si>
    <t xml:space="preserve">Тефтели с гречкой</t>
  </si>
  <si>
    <t xml:space="preserve">SF-D09-M04</t>
  </si>
  <si>
    <t xml:space="preserve">Хумус и овощи</t>
  </si>
  <si>
    <t xml:space="preserve">SF-D09-M05</t>
  </si>
  <si>
    <t xml:space="preserve">Рыба с булгуром</t>
  </si>
  <si>
    <t xml:space="preserve">SF-D10-M01</t>
  </si>
  <si>
    <t xml:space="preserve">Омлет с томатами</t>
  </si>
  <si>
    <t xml:space="preserve">SF-D10-M02</t>
  </si>
  <si>
    <t xml:space="preserve">Творожный крем</t>
  </si>
  <si>
    <t xml:space="preserve">SF-D10-M03</t>
  </si>
  <si>
    <t xml:space="preserve">Курица с киноа</t>
  </si>
  <si>
    <t xml:space="preserve">SF-D10-M04</t>
  </si>
  <si>
    <t xml:space="preserve">SF-D10-M05</t>
  </si>
  <si>
    <t xml:space="preserve">Паста с индейкой</t>
  </si>
  <si>
    <t xml:space="preserve">SF-D11-M01</t>
  </si>
  <si>
    <t xml:space="preserve">Гранола и йогурт</t>
  </si>
  <si>
    <t xml:space="preserve">SF-D11-M02</t>
  </si>
  <si>
    <t xml:space="preserve">Яблоко с творогом</t>
  </si>
  <si>
    <t xml:space="preserve">SF-D11-M03</t>
  </si>
  <si>
    <t xml:space="preserve">Говядина с рисом</t>
  </si>
  <si>
    <t xml:space="preserve">SF-D11-M04</t>
  </si>
  <si>
    <t xml:space="preserve">Овощной перекус</t>
  </si>
  <si>
    <t xml:space="preserve">SF-D11-M05</t>
  </si>
  <si>
    <t xml:space="preserve">Треска с картофелем</t>
  </si>
  <si>
    <t xml:space="preserve">SF-D12-M01</t>
  </si>
  <si>
    <t xml:space="preserve">Рисовая каша с ягодами</t>
  </si>
  <si>
    <t xml:space="preserve">SF-D12-M02</t>
  </si>
  <si>
    <t xml:space="preserve">Йогурт с фруктами</t>
  </si>
  <si>
    <t xml:space="preserve">SF-D12-M03</t>
  </si>
  <si>
    <t xml:space="preserve">Индейка с булгуром</t>
  </si>
  <si>
    <t xml:space="preserve">SF-D12-M04</t>
  </si>
  <si>
    <t xml:space="preserve">SF-D12-M05</t>
  </si>
  <si>
    <t xml:space="preserve">SF-D13-M01</t>
  </si>
  <si>
    <t xml:space="preserve">Сырники и фруктовый соус</t>
  </si>
  <si>
    <t xml:space="preserve">SF-D13-M02</t>
  </si>
  <si>
    <t xml:space="preserve">SF-D13-M03</t>
  </si>
  <si>
    <t xml:space="preserve">Курица с гречкой</t>
  </si>
  <si>
    <t xml:space="preserve">SF-D13-M04</t>
  </si>
  <si>
    <t xml:space="preserve">Овощи с хумусом</t>
  </si>
  <si>
    <t xml:space="preserve">SF-D13-M05</t>
  </si>
  <si>
    <t xml:space="preserve">Рыба с пюре</t>
  </si>
  <si>
    <t xml:space="preserve">SF-D14-M01</t>
  </si>
  <si>
    <t xml:space="preserve">Омлет с зеленью</t>
  </si>
  <si>
    <t xml:space="preserve">SF-D14-M02</t>
  </si>
  <si>
    <t xml:space="preserve">Йогурт и гранола</t>
  </si>
  <si>
    <t xml:space="preserve">SF-D14-M03</t>
  </si>
  <si>
    <t xml:space="preserve">Говядина с пастой</t>
  </si>
  <si>
    <t xml:space="preserve">SF-D14-M04</t>
  </si>
  <si>
    <t xml:space="preserve">SF-D14-M05</t>
  </si>
  <si>
    <t xml:space="preserve">Индейка с овощами</t>
  </si>
  <si>
    <t xml:space="preserve">Воронка продаж и привлечение</t>
  </si>
  <si>
    <t xml:space="preserve">Покупатели рассчитываются от бюджета, стоимости заявки и доли заявок, которые доходят до первого заказа.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</si>
  <si>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</si>
  <si>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</si>
  <si>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</si>
  <si>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</si>
  <si>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</si>
  <si>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</si>
  <si>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</si>
  <si>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</si>
  <si>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</si>
  <si>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</si>
  <si>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</si>
  <si>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</si>
  <si>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М13</t>
  </si>
  <si>
    <t xml:space="preserve">М14</t>
  </si>
  <si>
    <t xml:space="preserve">М15</t>
  </si>
  <si>
    <t xml:space="preserve">М16</t>
  </si>
  <si>
    <t xml:space="preserve">М17</t>
  </si>
  <si>
    <t xml:space="preserve">М18</t>
  </si>
  <si>
    <t xml:space="preserve">М19</t>
  </si>
  <si>
    <t xml:space="preserve">М20</t>
  </si>
  <si>
    <t xml:space="preserve">М21</t>
  </si>
  <si>
    <t xml:space="preserve">М22</t>
  </si>
  <si>
    <t xml:space="preserve">М23</t>
  </si>
  <si>
    <t xml:space="preserve">М24</t>
  </si>
  <si>
    <t xml:space="preserve">М25</t>
  </si>
  <si>
    <t xml:space="preserve">М26</t>
  </si>
  <si>
    <t xml:space="preserve">М27</t>
  </si>
  <si>
    <t xml:space="preserve">М28</t>
  </si>
  <si>
    <t xml:space="preserve">М29</t>
  </si>
  <si>
    <t xml:space="preserve">М30</t>
  </si>
  <si>
    <t xml:space="preserve">М31</t>
  </si>
  <si>
    <t xml:space="preserve">М32</t>
  </si>
  <si>
    <t xml:space="preserve">М33</t>
  </si>
  <si>
    <t xml:space="preserve">М34</t>
  </si>
  <si>
    <t xml:space="preserve">М35</t>
  </si>
  <si>
    <t xml:space="preserve">М36</t>
  </si>
  <si>
    <t xml:space="preserve">Итого/среднее</t>
  </si>
  <si>
    <t xml:space="preserve">Рекламный бюджет</t>
  </si>
  <si>
    <t xml:space="preserve">Заявки из рекламы</t>
  </si>
  <si>
    <t xml:space="preserve">Органические заявки</t>
  </si>
  <si>
    <t xml:space="preserve">Всего заявок</t>
  </si>
  <si>
    <t xml:space="preserve">Доля первого заказа</t>
  </si>
  <si>
    <t xml:space="preserve">Новые покупатели</t>
  </si>
  <si>
    <t xml:space="preserve">Стоимость привлечения покупателя</t>
  </si>
  <si>
    <t xml:space="preserve">Повтор 1-го месяца</t>
  </si>
  <si>
    <t xml:space="preserve">Повтор 2-го месяца</t>
  </si>
  <si>
    <t xml:space="preserve">Активные покупатели</t>
  </si>
  <si>
    <t xml:space="preserve">Дней на активного покупателя</t>
  </si>
  <si>
    <t xml:space="preserve">Спрос, рацион-дней</t>
  </si>
  <si>
    <t xml:space="preserve">План работы на 36 месяцев</t>
  </si>
  <si>
    <t xml:space="preserve">Объём ограничивается спросом и мощностью кухни. Переменные расходы снижаются по мере роста партии.</t>
  </si>
  <si>
    <t xml:space="preserve">Мощность в день</t>
  </si>
  <si>
    <t xml:space="preserve">Максимальный объём</t>
  </si>
  <si>
    <t xml:space="preserve">Спрос из воронки</t>
  </si>
  <si>
    <t xml:space="preserve">Доставлено рацион-дней</t>
  </si>
  <si>
    <t xml:space="preserve">Выручка</t>
  </si>
  <si>
    <t xml:space="preserve">Переменные расходы на день</t>
  </si>
  <si>
    <t xml:space="preserve">Постоянные расходы</t>
  </si>
  <si>
    <t xml:space="preserve">Реклама</t>
  </si>
  <si>
    <t xml:space="preserve">Операционный результат</t>
  </si>
  <si>
    <t xml:space="preserve">Операционная рентабельность</t>
  </si>
  <si>
    <t xml:space="preserve">Средний объём в день</t>
  </si>
  <si>
    <t xml:space="preserve">Движение денежных средств</t>
  </si>
  <si>
    <t xml:space="preserve">Показывает фактическую потребность в финансировании и запас денег.</t>
  </si>
  <si>
    <t xml:space="preserve">Итого/конец</t>
  </si>
  <si>
    <t xml:space="preserve">Остаток на начало</t>
  </si>
  <si>
    <t xml:space="preserve">Финансирование</t>
  </si>
  <si>
    <t xml:space="preserve">Всего поступило</t>
  </si>
  <si>
    <t xml:space="preserve">Разовые расходы запуска</t>
  </si>
  <si>
    <t xml:space="preserve">Изменение оборотного капитала</t>
  </si>
  <si>
    <t xml:space="preserve">Всего потрачено</t>
  </si>
  <si>
    <t xml:space="preserve">Чистое движение</t>
  </si>
  <si>
    <t xml:space="preserve">Остаток на конец</t>
  </si>
  <si>
    <t xml:space="preserve">Целевой резерв</t>
  </si>
  <si>
    <t xml:space="preserve">Запас сверх резерва</t>
  </si>
  <si>
    <t xml:space="preserve">Первые 13 недель</t>
  </si>
  <si>
    <t xml:space="preserve">Недельный контроль продаж, затрат и денег на этапе пилота.</t>
  </si>
  <si>
    <t xml:space="preserve">Неделя 1</t>
  </si>
  <si>
    <t xml:space="preserve">Неделя 2</t>
  </si>
  <si>
    <t xml:space="preserve">Неделя 3</t>
  </si>
  <si>
    <t xml:space="preserve">Неделя 4</t>
  </si>
  <si>
    <t xml:space="preserve">Неделя 5</t>
  </si>
  <si>
    <t xml:space="preserve">Неделя 6</t>
  </si>
  <si>
    <t xml:space="preserve">Неделя 7</t>
  </si>
  <si>
    <t xml:space="preserve">Неделя 8</t>
  </si>
  <si>
    <t xml:space="preserve">Неделя 9</t>
  </si>
  <si>
    <t xml:space="preserve">Неделя 10</t>
  </si>
  <si>
    <t xml:space="preserve">Неделя 11</t>
  </si>
  <si>
    <t xml:space="preserve">Неделя 12</t>
  </si>
  <si>
    <t xml:space="preserve">Неделя 13</t>
  </si>
  <si>
    <t xml:space="preserve">Рацион-дней</t>
  </si>
  <si>
    <t xml:space="preserve">Разовые расходы</t>
  </si>
  <si>
    <t xml:space="preserve">Каждая статья привязана к конкретному результату.</t>
  </si>
  <si>
    <t xml:space="preserve">Статья</t>
  </si>
  <si>
    <t xml:space="preserve">Сумма</t>
  </si>
  <si>
    <t xml:space="preserve">Доля</t>
  </si>
  <si>
    <t xml:space="preserve">Зачем нужна</t>
  </si>
  <si>
    <t xml:space="preserve">Результат</t>
  </si>
  <si>
    <t xml:space="preserve">Этап</t>
  </si>
  <si>
    <t xml:space="preserve">Технологическая и производственная подготовка</t>
  </si>
  <si>
    <t xml:space="preserve">Проработка 70 карт, контрольные готовки, расчёт выходов, пищевой ценности, аллергенов и маркировки.</t>
  </si>
  <si>
    <t xml:space="preserve">Утверждённое меню и воспроизводимый производственный процесс.</t>
  </si>
  <si>
    <t xml:space="preserve">Подготовка</t>
  </si>
  <si>
    <t xml:space="preserve">Запуск кухни и первая партия</t>
  </si>
  <si>
    <t xml:space="preserve">Депозит кухни, тестовая смена, санитарные материалы, первая закупка сырья.</t>
  </si>
  <si>
    <t xml:space="preserve">Рабочая производственная площадка и первый контролируемый выпуск.</t>
  </si>
  <si>
    <t xml:space="preserve">Упаковка и маркировка</t>
  </si>
  <si>
    <t xml:space="preserve">Контейнеры, крафт-короб, этикетки, термопринтер/расходники, транспортные тесты.</t>
  </si>
  <si>
    <t xml:space="preserve">Готовая упаковочная система на пилот.</t>
  </si>
  <si>
    <t xml:space="preserve">Логистика и холодовая цепь</t>
  </si>
  <si>
    <t xml:space="preserve">Термосумки, термометры, маршрутные тесты, резерв на курьерскую доставку.</t>
  </si>
  <si>
    <t xml:space="preserve">Подтверждённый маршрут и контроль температуры.</t>
  </si>
  <si>
    <t xml:space="preserve">Продвижение и продажи</t>
  </si>
  <si>
    <t xml:space="preserve">Фотосъёмка фактического продукта, рекламные тесты, партнёрские размещения, печатные материалы.</t>
  </si>
  <si>
    <t xml:space="preserve">Измеримый поток заявок и первые оплаченные клиенты.</t>
  </si>
  <si>
    <t xml:space="preserve">Оборотный капитал</t>
  </si>
  <si>
    <t xml:space="preserve">Сырьё, кухня, упаковка, доставка и текущие расходы в период набора объёма.</t>
  </si>
  <si>
    <t xml:space="preserve">Непрерывная работа до выхода на операционную безубыточность.</t>
  </si>
  <si>
    <t xml:space="preserve">Правовой, бухгалтерский и платёжный контур</t>
  </si>
  <si>
    <t xml:space="preserve">Регистрация/договоры, бухгалтерская настройка, платёжный сервис, кассовый контур.</t>
  </si>
  <si>
    <t xml:space="preserve">Возможность законно принимать оплату и оформлять документы.</t>
  </si>
  <si>
    <t xml:space="preserve">Резерв</t>
  </si>
  <si>
    <t xml:space="preserve">Отклонения цен, повторные тесты и непредвиденные расходы.</t>
  </si>
  <si>
    <t xml:space="preserve">Запас устойчивости без остановки пилота.</t>
  </si>
  <si>
    <t xml:space="preserve">ИТОГО</t>
  </si>
  <si>
    <t xml:space="preserve">Что быстрее всего ломает экономику</t>
  </si>
  <si>
    <t xml:space="preserve">Расчёт при устойчивом объёме 60 рационов в день и 26 рабочих днях.</t>
  </si>
  <si>
    <t xml:space="preserve">Сценарий</t>
  </si>
  <si>
    <t xml:space="preserve">Цена</t>
  </si>
  <si>
    <t xml:space="preserve">Кухня</t>
  </si>
  <si>
    <t xml:space="preserve">Вклад/день</t>
  </si>
  <si>
    <t xml:space="preserve">Результат/месяц</t>
  </si>
  <si>
    <t xml:space="preserve">Вывод</t>
  </si>
  <si>
    <t xml:space="preserve">Цена -5%</t>
  </si>
  <si>
    <t xml:space="preserve">Цена -10%</t>
  </si>
  <si>
    <t xml:space="preserve">Сырьё +10%</t>
  </si>
  <si>
    <t xml:space="preserve">Сырьё +20%</t>
  </si>
  <si>
    <t xml:space="preserve">Кухня +20%</t>
  </si>
  <si>
    <t xml:space="preserve">Упаковка +20%</t>
  </si>
  <si>
    <t xml:space="preserve">Доставка +20%</t>
  </si>
  <si>
    <t xml:space="preserve">Комбинированный стресс</t>
  </si>
  <si>
    <t xml:space="preserve">Контроль финансовой модели</t>
  </si>
  <si>
    <t xml:space="preserve">Все строки должны показывать «ПРОЙДЕНО».</t>
  </si>
  <si>
    <t xml:space="preserve">Проверка</t>
  </si>
  <si>
    <t xml:space="preserve">Формула</t>
  </si>
  <si>
    <t xml:space="preserve">Финансирование равно бюджету</t>
  </si>
  <si>
    <t xml:space="preserve">'=SUM('Движение денег'!B7:AK7)</t>
  </si>
  <si>
    <t xml:space="preserve">Нет деления на ноль</t>
  </si>
  <si>
    <t xml:space="preserve">'=COUNTIF('План 36 месяцев'!B19:AK19,"#DIV/0!")</t>
  </si>
  <si>
    <t xml:space="preserve">Выручка = объём × цена</t>
  </si>
  <si>
    <t xml:space="preserve">'=SUMPRODUCT('План 36 месяцев'!B9:AK9,'План 36 месяцев'!B10:AK10)-SUM('План 36 месяцев'!B11:AK11)</t>
  </si>
  <si>
    <t xml:space="preserve">Касса сходится</t>
  </si>
  <si>
    <t xml:space="preserve">'='Движение денег'!AK16-SUM('Движение денег'!B15:AK15)</t>
  </si>
  <si>
    <t xml:space="preserve">Маржа устойчивого объёма выше 25%</t>
  </si>
  <si>
    <t xml:space="preserve">'='Экономика дня'!C16</t>
  </si>
  <si>
    <t xml:space="preserve">Источники расчётов</t>
  </si>
  <si>
    <t xml:space="preserve">Открытые ориентиры заменяются договорами и фактическими данными.</t>
  </si>
  <si>
    <t xml:space="preserve">Категория</t>
  </si>
  <si>
    <t xml:space="preserve">Источник</t>
  </si>
  <si>
    <t xml:space="preserve">Адрес</t>
  </si>
  <si>
    <t xml:space="preserve">Что использовано</t>
  </si>
  <si>
    <t xml:space="preserve">Ограничение</t>
  </si>
  <si>
    <t xml:space="preserve">Рынок</t>
  </si>
  <si>
    <t xml:space="preserve">Белстат</t>
  </si>
  <si>
    <t xml:space="preserve">https://www.belstat.gov.by/upload/iblock/0ec/tcgtty8e031wae223oyzhy9j9nudvv1e.pdf</t>
  </si>
  <si>
    <t xml:space="preserve">Население Молодечно и района</t>
  </si>
  <si>
    <t xml:space="preserve">Не доказывает платежеспособный спрос</t>
  </si>
  <si>
    <t xml:space="preserve">Конкуренты</t>
  </si>
  <si>
    <t xml:space="preserve">PROPORTSIYA</t>
  </si>
  <si>
    <t xml:space="preserve">https://proportsiya.by/</t>
  </si>
  <si>
    <t xml:space="preserve">Цена рационов 1550–1800 ккал</t>
  </si>
  <si>
    <t xml:space="preserve">Не подтверждает спрос в Молодечно</t>
  </si>
  <si>
    <t xml:space="preserve">GREEN</t>
  </si>
  <si>
    <t xml:space="preserve">https://green-dostavka.by/</t>
  </si>
  <si>
    <t xml:space="preserve">Розничные цены продуктов</t>
  </si>
  <si>
    <t xml:space="preserve">Это верхний ориентир, не оптовое КП</t>
  </si>
  <si>
    <t xml:space="preserve">Пищевая ценность</t>
  </si>
  <si>
    <t xml:space="preserve">USDA FoodData Central</t>
  </si>
  <si>
    <t xml:space="preserve">https://fdc.nal.usda.gov/</t>
  </si>
  <si>
    <t xml:space="preserve">Базовая пищевая ценность сырья</t>
  </si>
  <si>
    <t xml:space="preserve">Нужна проверка конкретных продуктов и выхода</t>
  </si>
  <si>
    <t xml:space="preserve">Upakovki.by</t>
  </si>
  <si>
    <t xml:space="preserve">https://upakovki.by/</t>
  </si>
  <si>
    <t xml:space="preserve">Минимальные тиражи и направление запроса</t>
  </si>
  <si>
    <t xml:space="preserve">Цена только по запросу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</si>
</sst>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бел. руб.&quot;;[RED]\(#,##0.00&quot; бел. руб.)&quot;;\-"/>
    <numFmt numFmtId="166" formatCode="0.0%;[RED]\(0.0%\);\-"/>
    <numFmt numFmtId="167" formatCode="#,##0.00&quot; бел. руб.&quot;;[RED]\(#,##0.00&quot; бел. руб.)&quot;;\-"/>
    <numFmt numFmtId="168" formatCode="#,##0.00&quot; BYN&quot;;[RED]\(#,##0.00&quot; BYN)&quot;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Times New Roman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74F3B"/>
      <name val="Arial"/>
      <family val="0"/>
      <charset val="1"/>
    </font>
    <font>
      <sz val="13"/>
      <color rgb="FF17221D"/>
      <name val="Times New Roman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7221D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17221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sz val="8.5"/>
      <color rgb="FF008000"/>
      <name val="Arial"/>
      <family val="0"/>
      <charset val="1"/>
    </font>
    <font>
      <sz val="8.5"/>
      <color rgb="FF666666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C3B2E"/>
        <bgColor rgb="FF174F3B"/>
      </patternFill>
    </fill>
    <fill>
      <patternFill patternType="solid">
        <fgColor rgb="FFF5F0E6"/>
        <bgColor rgb="FFFFF2CC"/>
      </patternFill>
    </fill>
    <fill>
      <patternFill patternType="solid">
        <fgColor rgb="FF174F3B"/>
        <bgColor rgb="FF0C3B2E"/>
      </patternFill>
    </fill>
    <fill>
      <patternFill patternType="solid">
        <fgColor rgb="FFFFF2CC"/>
        <bgColor rgb="FFF5F0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C3B2E"/>
      </bottom>
      <diagonal/>
    </border>
    <border diagonalUp="false" diagonalDown="false">
      <left/>
      <right/>
      <top/>
      <bottom style="thin">
        <color rgb="FFD9D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C0C0C0"/>
      <rgbColor rgb="FF878787"/>
      <rgbColor rgb="FF93A9CE"/>
      <rgbColor rgb="FFAA433F"/>
      <rgbColor rgb="FFFFF2CC"/>
      <rgbColor rgb="FFF5F0E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ED8"/>
      <rgbColor rgb="FFFFFF99"/>
      <rgbColor rgb="FF99CCFF"/>
      <rgbColor rgb="FFD09493"/>
      <rgbColor rgb="FFCC8F8E"/>
      <rgbColor rgb="FFF4CCCC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174F3B"/>
      <rgbColor rgb="FF3D97AF"/>
      <rgbColor rgb="FF0C3B2E"/>
      <rgbColor rgb="FF666666"/>
      <rgbColor rgb="FF993300"/>
      <rgbColor rgb="FFAB4744"/>
      <rgbColor rgb="FF6F568D"/>
      <rgbColor rgb="FF1722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Структура переменных расходов — устойчивый объём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numFmt formatCode="#,##0.00&quot; BYN&quot;;[RED]\(#,##0.00&quot; BYN)&quot;;\-" sourceLinked="1"/>
            <c:dLbl>
              <c:idx val="0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'Экономика дня'!$A$6:$A$13</c:f>
              <c:strCache>
                <c:ptCount val="8"/>
                <c:pt idx="0">
                  <c:v>Сырьё</c:v>
                </c:pt>
                <c:pt idx="1">
                  <c:v>Работа кухни</c:v>
                </c:pt>
                <c:pt idx="2">
                  <c:v>Упаковка</c:v>
                </c:pt>
                <c:pt idx="3">
                  <c:v>Доставка</c:v>
                </c:pt>
                <c:pt idx="4">
                  <c:v>Прочие переменные</c:v>
                </c:pt>
                <c:pt idx="5">
                  <c:v>Списания</c:v>
                </c:pt>
                <c:pt idx="6">
                  <c:v>Комиссия оплаты</c:v>
                </c:pt>
                <c:pt idx="7">
                  <c:v>Налоговый сценарий</c:v>
                </c:pt>
              </c:strCache>
            </c:strRef>
          </c:cat>
          <c:val>
            <c:numRef>
              <c:f>'Экономика дня'!$C$6:$C$13</c:f>
              <c:numCache>
                <c:formatCode>#,##0.00" бел. руб.";[RED]\(#,##0.00" бел. руб.)";\-</c:formatCode>
                <c:ptCount val="8"/>
                <c:pt idx="0">
                  <c:v>13.35</c:v>
                </c:pt>
                <c:pt idx="1">
                  <c:v>5.5</c:v>
                </c:pt>
                <c:pt idx="2">
                  <c:v>3.2</c:v>
                </c:pt>
                <c:pt idx="3">
                  <c:v>2.8</c:v>
                </c:pt>
                <c:pt idx="4">
                  <c:v>1.5</c:v>
                </c:pt>
                <c:pt idx="5">
                  <c:v>0.4005</c:v>
                </c:pt>
                <c:pt idx="6">
                  <c:v>0.7983</c:v>
                </c:pt>
                <c:pt idx="7">
                  <c:v>2.661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Выручка и операционный результат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'План 36 месяцев'!B11</c:f>
              <c:strCache>
                <c:ptCount val="1"/>
                <c:pt idx="0">
                  <c:v>8,071.70 бел. руб.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месяцев'!$C$11:$AK$11</c:f>
              <c:numCache>
                <c:formatCode>#,##0.00" бел. руб.";[RED]\(#,##0.00" бел. руб.)";\-</c:formatCode>
                <c:ptCount val="35"/>
                <c:pt idx="0">
                  <c:v>13269.52</c:v>
                </c:pt>
                <c:pt idx="1">
                  <c:v>18044.241</c:v>
                </c:pt>
                <c:pt idx="2">
                  <c:v>23391.077</c:v>
                </c:pt>
                <c:pt idx="3">
                  <c:v>29388.084</c:v>
                </c:pt>
                <c:pt idx="4">
                  <c:v>36789.212</c:v>
                </c:pt>
                <c:pt idx="5">
                  <c:v>44135.346</c:v>
                </c:pt>
                <c:pt idx="6">
                  <c:v>51796.365</c:v>
                </c:pt>
                <c:pt idx="7">
                  <c:v>58922.30125</c:v>
                </c:pt>
                <c:pt idx="8">
                  <c:v>66129.17625</c:v>
                </c:pt>
                <c:pt idx="9">
                  <c:v>73550.04</c:v>
                </c:pt>
                <c:pt idx="10">
                  <c:v>81273.5925</c:v>
                </c:pt>
                <c:pt idx="11">
                  <c:v>86482.5</c:v>
                </c:pt>
                <c:pt idx="12">
                  <c:v>92248</c:v>
                </c:pt>
                <c:pt idx="13">
                  <c:v>92248</c:v>
                </c:pt>
                <c:pt idx="14">
                  <c:v>98013.5</c:v>
                </c:pt>
                <c:pt idx="15">
                  <c:v>98013.5</c:v>
                </c:pt>
                <c:pt idx="16">
                  <c:v>103779</c:v>
                </c:pt>
                <c:pt idx="17">
                  <c:v>103779</c:v>
                </c:pt>
                <c:pt idx="18">
                  <c:v>109544.5</c:v>
                </c:pt>
                <c:pt idx="19">
                  <c:v>109544.5</c:v>
                </c:pt>
                <c:pt idx="20">
                  <c:v>115310</c:v>
                </c:pt>
                <c:pt idx="21">
                  <c:v>115310</c:v>
                </c:pt>
                <c:pt idx="22">
                  <c:v>121075.5</c:v>
                </c:pt>
                <c:pt idx="23">
                  <c:v>121075.5</c:v>
                </c:pt>
                <c:pt idx="24">
                  <c:v>126841</c:v>
                </c:pt>
                <c:pt idx="25">
                  <c:v>126841</c:v>
                </c:pt>
                <c:pt idx="26">
                  <c:v>132606.5</c:v>
                </c:pt>
                <c:pt idx="27">
                  <c:v>132606.5</c:v>
                </c:pt>
                <c:pt idx="28">
                  <c:v>138372</c:v>
                </c:pt>
                <c:pt idx="29">
                  <c:v>138372</c:v>
                </c:pt>
                <c:pt idx="30">
                  <c:v>138372</c:v>
                </c:pt>
                <c:pt idx="31">
                  <c:v>138372</c:v>
                </c:pt>
                <c:pt idx="32">
                  <c:v>138372</c:v>
                </c:pt>
                <c:pt idx="33">
                  <c:v>138372</c:v>
                </c:pt>
                <c:pt idx="34">
                  <c:v>138372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'План 36 месяцев'!B12</c:f>
              <c:strCache>
                <c:ptCount val="1"/>
                <c:pt idx="0">
                  <c:v>30.21 бел. руб.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месяцев'!$C$12:$AK$12</c:f>
              <c:numCache>
                <c:formatCode>#,##0.00" бел. руб.";[RED]\(#,##0.00" бел. руб.)";\-</c:formatCode>
                <c:ptCount val="35"/>
                <c:pt idx="0">
                  <c:v>30.2098</c:v>
                </c:pt>
                <c:pt idx="1">
                  <c:v>30.2098</c:v>
                </c:pt>
                <c:pt idx="2">
                  <c:v>30.2098</c:v>
                </c:pt>
                <c:pt idx="3">
                  <c:v>30.2098</c:v>
                </c:pt>
                <c:pt idx="4">
                  <c:v>30.2098</c:v>
                </c:pt>
                <c:pt idx="5">
                  <c:v>30.2098</c:v>
                </c:pt>
                <c:pt idx="6">
                  <c:v>30.2098</c:v>
                </c:pt>
                <c:pt idx="7">
                  <c:v>30.2098</c:v>
                </c:pt>
                <c:pt idx="8">
                  <c:v>30.2098</c:v>
                </c:pt>
                <c:pt idx="9">
                  <c:v>30.2098</c:v>
                </c:pt>
                <c:pt idx="10">
                  <c:v>30.2098</c:v>
                </c:pt>
                <c:pt idx="11">
                  <c:v>30.2098</c:v>
                </c:pt>
                <c:pt idx="12">
                  <c:v>30.2098</c:v>
                </c:pt>
                <c:pt idx="13">
                  <c:v>30.2098</c:v>
                </c:pt>
                <c:pt idx="14">
                  <c:v>30.2098</c:v>
                </c:pt>
                <c:pt idx="15">
                  <c:v>30.2098</c:v>
                </c:pt>
                <c:pt idx="16">
                  <c:v>30.2098</c:v>
                </c:pt>
                <c:pt idx="17">
                  <c:v>30.2098</c:v>
                </c:pt>
                <c:pt idx="18">
                  <c:v>30.2098</c:v>
                </c:pt>
                <c:pt idx="19">
                  <c:v>30.2098</c:v>
                </c:pt>
                <c:pt idx="20">
                  <c:v>30.2098</c:v>
                </c:pt>
                <c:pt idx="21">
                  <c:v>30.2098</c:v>
                </c:pt>
                <c:pt idx="22">
                  <c:v>30.2098</c:v>
                </c:pt>
                <c:pt idx="23">
                  <c:v>30.2098</c:v>
                </c:pt>
                <c:pt idx="24">
                  <c:v>30.2098</c:v>
                </c:pt>
                <c:pt idx="25">
                  <c:v>30.2098</c:v>
                </c:pt>
                <c:pt idx="26">
                  <c:v>30.2098</c:v>
                </c:pt>
                <c:pt idx="27">
                  <c:v>30.2098</c:v>
                </c:pt>
                <c:pt idx="28">
                  <c:v>30.2098</c:v>
                </c:pt>
                <c:pt idx="29">
                  <c:v>30.2098</c:v>
                </c:pt>
                <c:pt idx="30">
                  <c:v>30.2098</c:v>
                </c:pt>
                <c:pt idx="31">
                  <c:v>30.2098</c:v>
                </c:pt>
                <c:pt idx="32">
                  <c:v>30.2098</c:v>
                </c:pt>
                <c:pt idx="33">
                  <c:v>30.2098</c:v>
                </c:pt>
                <c:pt idx="34">
                  <c:v>30.2098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'План 36 месяцев'!B13</c:f>
              <c:strCache>
                <c:ptCount val="1"/>
                <c:pt idx="0">
                  <c:v>5,498.18 бел. руб.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месяцев'!$C$13:$AK$13</c:f>
              <c:numCache>
                <c:formatCode>#,##0.00" бел. руб.";[RED]\(#,##0.00" бел. руб.)";\-</c:formatCode>
                <c:ptCount val="35"/>
                <c:pt idx="0">
                  <c:v>9038.77216</c:v>
                </c:pt>
                <c:pt idx="1">
                  <c:v>12291.159228</c:v>
                </c:pt>
                <c:pt idx="2">
                  <c:v>15933.252716</c:v>
                </c:pt>
                <c:pt idx="3">
                  <c:v>20018.221872</c:v>
                </c:pt>
                <c:pt idx="4">
                  <c:v>25059.633296</c:v>
                </c:pt>
                <c:pt idx="5">
                  <c:v>30063.584568</c:v>
                </c:pt>
                <c:pt idx="6">
                  <c:v>35282.02542</c:v>
                </c:pt>
                <c:pt idx="7">
                  <c:v>40135.985035</c:v>
                </c:pt>
                <c:pt idx="8">
                  <c:v>45045.077535</c:v>
                </c:pt>
                <c:pt idx="9">
                  <c:v>50099.93232</c:v>
                </c:pt>
                <c:pt idx="10">
                  <c:v>55360.96899</c:v>
                </c:pt>
                <c:pt idx="11">
                  <c:v>58909.11</c:v>
                </c:pt>
                <c:pt idx="12">
                  <c:v>62836.384</c:v>
                </c:pt>
                <c:pt idx="13">
                  <c:v>62836.384</c:v>
                </c:pt>
                <c:pt idx="14">
                  <c:v>66763.658</c:v>
                </c:pt>
                <c:pt idx="15">
                  <c:v>66763.658</c:v>
                </c:pt>
                <c:pt idx="16">
                  <c:v>70690.932</c:v>
                </c:pt>
                <c:pt idx="17">
                  <c:v>70690.932</c:v>
                </c:pt>
                <c:pt idx="18">
                  <c:v>74618.206</c:v>
                </c:pt>
                <c:pt idx="19">
                  <c:v>74618.206</c:v>
                </c:pt>
                <c:pt idx="20">
                  <c:v>78545.48</c:v>
                </c:pt>
                <c:pt idx="21">
                  <c:v>78545.48</c:v>
                </c:pt>
                <c:pt idx="22">
                  <c:v>82472.754</c:v>
                </c:pt>
                <c:pt idx="23">
                  <c:v>82472.754</c:v>
                </c:pt>
                <c:pt idx="24">
                  <c:v>86400.028</c:v>
                </c:pt>
                <c:pt idx="25">
                  <c:v>86400.028</c:v>
                </c:pt>
                <c:pt idx="26">
                  <c:v>90327.302</c:v>
                </c:pt>
                <c:pt idx="27">
                  <c:v>90327.302</c:v>
                </c:pt>
                <c:pt idx="28">
                  <c:v>94254.576</c:v>
                </c:pt>
                <c:pt idx="29">
                  <c:v>94254.576</c:v>
                </c:pt>
                <c:pt idx="30">
                  <c:v>94254.576</c:v>
                </c:pt>
                <c:pt idx="31">
                  <c:v>94254.576</c:v>
                </c:pt>
                <c:pt idx="32">
                  <c:v>94254.576</c:v>
                </c:pt>
                <c:pt idx="33">
                  <c:v>94254.576</c:v>
                </c:pt>
                <c:pt idx="34">
                  <c:v>94254.576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'План 36 месяцев'!B14</c:f>
              <c:strCache>
                <c:ptCount val="1"/>
                <c:pt idx="0">
                  <c:v>2,573.52 бел. руб.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месяцев'!$C$14:$AK$14</c:f>
              <c:numCache>
                <c:formatCode>#,##0.00" бел. руб.";[RED]\(#,##0.00" бел. руб.)";\-</c:formatCode>
                <c:ptCount val="35"/>
                <c:pt idx="0">
                  <c:v>4230.74784</c:v>
                </c:pt>
                <c:pt idx="1">
                  <c:v>5753.081772</c:v>
                </c:pt>
                <c:pt idx="2">
                  <c:v>7457.824284</c:v>
                </c:pt>
                <c:pt idx="3">
                  <c:v>9369.862128</c:v>
                </c:pt>
                <c:pt idx="4">
                  <c:v>11729.578704</c:v>
                </c:pt>
                <c:pt idx="5">
                  <c:v>14071.761432</c:v>
                </c:pt>
                <c:pt idx="6">
                  <c:v>16514.33958</c:v>
                </c:pt>
                <c:pt idx="7">
                  <c:v>18786.316215</c:v>
                </c:pt>
                <c:pt idx="8">
                  <c:v>21084.098715</c:v>
                </c:pt>
                <c:pt idx="9">
                  <c:v>23450.10768</c:v>
                </c:pt>
                <c:pt idx="10">
                  <c:v>25912.62351</c:v>
                </c:pt>
                <c:pt idx="11">
                  <c:v>27573.39</c:v>
                </c:pt>
                <c:pt idx="12">
                  <c:v>29411.616</c:v>
                </c:pt>
                <c:pt idx="13">
                  <c:v>29411.616</c:v>
                </c:pt>
                <c:pt idx="14">
                  <c:v>31249.842</c:v>
                </c:pt>
                <c:pt idx="15">
                  <c:v>31249.842</c:v>
                </c:pt>
                <c:pt idx="16">
                  <c:v>33088.068</c:v>
                </c:pt>
                <c:pt idx="17">
                  <c:v>33088.068</c:v>
                </c:pt>
                <c:pt idx="18">
                  <c:v>34926.294</c:v>
                </c:pt>
                <c:pt idx="19">
                  <c:v>34926.294</c:v>
                </c:pt>
                <c:pt idx="20">
                  <c:v>36764.52</c:v>
                </c:pt>
                <c:pt idx="21">
                  <c:v>36764.52</c:v>
                </c:pt>
                <c:pt idx="22">
                  <c:v>38602.746</c:v>
                </c:pt>
                <c:pt idx="23">
                  <c:v>38602.746</c:v>
                </c:pt>
                <c:pt idx="24">
                  <c:v>40440.972</c:v>
                </c:pt>
                <c:pt idx="25">
                  <c:v>40440.972</c:v>
                </c:pt>
                <c:pt idx="26">
                  <c:v>42279.198</c:v>
                </c:pt>
                <c:pt idx="27">
                  <c:v>42279.198</c:v>
                </c:pt>
                <c:pt idx="28">
                  <c:v>44117.424</c:v>
                </c:pt>
                <c:pt idx="29">
                  <c:v>44117.424</c:v>
                </c:pt>
                <c:pt idx="30">
                  <c:v>44117.424</c:v>
                </c:pt>
                <c:pt idx="31">
                  <c:v>44117.424</c:v>
                </c:pt>
                <c:pt idx="32">
                  <c:v>44117.424</c:v>
                </c:pt>
                <c:pt idx="33">
                  <c:v>44117.424</c:v>
                </c:pt>
                <c:pt idx="34">
                  <c:v>44117.424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'План 36 месяцев'!B15</c:f>
              <c:strCache>
                <c:ptCount val="1"/>
                <c:pt idx="0">
                  <c:v>31.9%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месяцев'!$C$15:$AK$15</c:f>
              <c:numCache>
                <c:formatCode>0.0%;[RED]\(0.0%\);\-</c:formatCode>
                <c:ptCount val="35"/>
                <c:pt idx="0">
                  <c:v>0.318832018038331</c:v>
                </c:pt>
                <c:pt idx="1">
                  <c:v>0.318832018038332</c:v>
                </c:pt>
                <c:pt idx="2">
                  <c:v>0.318832018038332</c:v>
                </c:pt>
                <c:pt idx="3">
                  <c:v>0.318832018038331</c:v>
                </c:pt>
                <c:pt idx="4">
                  <c:v>0.318832018038331</c:v>
                </c:pt>
                <c:pt idx="5">
                  <c:v>0.318832018038331</c:v>
                </c:pt>
                <c:pt idx="6">
                  <c:v>0.318832018038331</c:v>
                </c:pt>
                <c:pt idx="7">
                  <c:v>0.318832018038331</c:v>
                </c:pt>
                <c:pt idx="8">
                  <c:v>0.318832018038332</c:v>
                </c:pt>
                <c:pt idx="9">
                  <c:v>0.318832018038331</c:v>
                </c:pt>
                <c:pt idx="10">
                  <c:v>0.318832018038331</c:v>
                </c:pt>
                <c:pt idx="11">
                  <c:v>0.318832018038331</c:v>
                </c:pt>
                <c:pt idx="12">
                  <c:v>0.318832018038331</c:v>
                </c:pt>
                <c:pt idx="13">
                  <c:v>0.318832018038331</c:v>
                </c:pt>
                <c:pt idx="14">
                  <c:v>0.318832018038332</c:v>
                </c:pt>
                <c:pt idx="15">
                  <c:v>0.318832018038332</c:v>
                </c:pt>
                <c:pt idx="16">
                  <c:v>0.318832018038331</c:v>
                </c:pt>
                <c:pt idx="17">
                  <c:v>0.318832018038331</c:v>
                </c:pt>
                <c:pt idx="18">
                  <c:v>0.318832018038331</c:v>
                </c:pt>
                <c:pt idx="19">
                  <c:v>0.318832018038331</c:v>
                </c:pt>
                <c:pt idx="20">
                  <c:v>0.318832018038331</c:v>
                </c:pt>
                <c:pt idx="21">
                  <c:v>0.318832018038331</c:v>
                </c:pt>
                <c:pt idx="22">
                  <c:v>0.318832018038331</c:v>
                </c:pt>
                <c:pt idx="23">
                  <c:v>0.318832018038331</c:v>
                </c:pt>
                <c:pt idx="24">
                  <c:v>0.318832018038331</c:v>
                </c:pt>
                <c:pt idx="25">
                  <c:v>0.318832018038331</c:v>
                </c:pt>
                <c:pt idx="26">
                  <c:v>0.318832018038331</c:v>
                </c:pt>
                <c:pt idx="27">
                  <c:v>0.318832018038331</c:v>
                </c:pt>
                <c:pt idx="28">
                  <c:v>0.318832018038331</c:v>
                </c:pt>
                <c:pt idx="29">
                  <c:v>0.318832018038331</c:v>
                </c:pt>
                <c:pt idx="30">
                  <c:v>0.318832018038331</c:v>
                </c:pt>
                <c:pt idx="31">
                  <c:v>0.318832018038331</c:v>
                </c:pt>
                <c:pt idx="32">
                  <c:v>0.318832018038331</c:v>
                </c:pt>
                <c:pt idx="33">
                  <c:v>0.318832018038331</c:v>
                </c:pt>
                <c:pt idx="34">
                  <c:v>0.318832018038331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'План 36 месяцев'!B16</c:f>
              <c:strCache>
                <c:ptCount val="1"/>
                <c:pt idx="0">
                  <c:v>7,000.00 бел. руб.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месяцев'!$C$16:$AK$16</c:f>
              <c:numCache>
                <c:formatCode>#,##0.00" бел. руб.";[RED]\(#,##0.00" бел. руб.)";\-</c:formatCode>
                <c:ptCount val="35"/>
                <c:pt idx="0">
                  <c:v>7000</c:v>
                </c:pt>
                <c:pt idx="1">
                  <c:v>7000</c:v>
                </c:pt>
                <c:pt idx="2">
                  <c:v>9000</c:v>
                </c:pt>
                <c:pt idx="3">
                  <c:v>9000</c:v>
                </c:pt>
                <c:pt idx="4">
                  <c:v>9000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18000</c:v>
                </c:pt>
                <c:pt idx="24">
                  <c:v>18000</c:v>
                </c:pt>
                <c:pt idx="25">
                  <c:v>18000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  <c:pt idx="34">
                  <c:v>18000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'План 36 месяцев'!B17</c:f>
              <c:strCache>
                <c:ptCount val="1"/>
                <c:pt idx="0">
                  <c:v>800.00 бел. руб.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месяцев'!$C$17:$AK$17</c:f>
              <c:numCache>
                <c:formatCode>#,##0.00" бел. руб.";[RED]\(#,##0.00" бел. руб.)";\-</c:formatCode>
                <c:ptCount val="35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1800</c:v>
                </c:pt>
                <c:pt idx="4">
                  <c:v>2200</c:v>
                </c:pt>
                <c:pt idx="5">
                  <c:v>2500</c:v>
                </c:pt>
                <c:pt idx="6">
                  <c:v>2800</c:v>
                </c:pt>
                <c:pt idx="7">
                  <c:v>3000</c:v>
                </c:pt>
                <c:pt idx="8">
                  <c:v>3200</c:v>
                </c:pt>
                <c:pt idx="9">
                  <c:v>3400</c:v>
                </c:pt>
                <c:pt idx="10">
                  <c:v>3600</c:v>
                </c:pt>
                <c:pt idx="11">
                  <c:v>3800</c:v>
                </c:pt>
                <c:pt idx="12">
                  <c:v>3800</c:v>
                </c:pt>
                <c:pt idx="13">
                  <c:v>3800</c:v>
                </c:pt>
                <c:pt idx="14">
                  <c:v>3800</c:v>
                </c:pt>
                <c:pt idx="15">
                  <c:v>3800</c:v>
                </c:pt>
                <c:pt idx="16">
                  <c:v>3800</c:v>
                </c:pt>
                <c:pt idx="17">
                  <c:v>3800</c:v>
                </c:pt>
                <c:pt idx="18">
                  <c:v>3800</c:v>
                </c:pt>
                <c:pt idx="19">
                  <c:v>3800</c:v>
                </c:pt>
                <c:pt idx="20">
                  <c:v>3800</c:v>
                </c:pt>
                <c:pt idx="21">
                  <c:v>3800</c:v>
                </c:pt>
                <c:pt idx="22">
                  <c:v>3800</c:v>
                </c:pt>
                <c:pt idx="23">
                  <c:v>4200</c:v>
                </c:pt>
                <c:pt idx="24">
                  <c:v>4200</c:v>
                </c:pt>
                <c:pt idx="25">
                  <c:v>4200</c:v>
                </c:pt>
                <c:pt idx="26">
                  <c:v>4200</c:v>
                </c:pt>
                <c:pt idx="27">
                  <c:v>4200</c:v>
                </c:pt>
                <c:pt idx="28">
                  <c:v>4200</c:v>
                </c:pt>
                <c:pt idx="29">
                  <c:v>4200</c:v>
                </c:pt>
                <c:pt idx="30">
                  <c:v>4200</c:v>
                </c:pt>
                <c:pt idx="31">
                  <c:v>4200</c:v>
                </c:pt>
                <c:pt idx="32">
                  <c:v>4200</c:v>
                </c:pt>
                <c:pt idx="33">
                  <c:v>4200</c:v>
                </c:pt>
                <c:pt idx="34">
                  <c:v>4200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'План 36 месяцев'!B18</c:f>
              <c:strCache>
                <c:ptCount val="1"/>
                <c:pt idx="0">
                  <c:v>(5,226.48 бел. руб.)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'План 36 месяцев'!$B$4:$AK$4</c:f>
              <c:strCache>
                <c:ptCount val="36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  <c:pt idx="12">
                  <c:v>М13</c:v>
                </c:pt>
                <c:pt idx="13">
                  <c:v>М14</c:v>
                </c:pt>
                <c:pt idx="14">
                  <c:v>М15</c:v>
                </c:pt>
                <c:pt idx="15">
                  <c:v>М16</c:v>
                </c:pt>
                <c:pt idx="16">
                  <c:v>М17</c:v>
                </c:pt>
                <c:pt idx="17">
                  <c:v>М18</c:v>
                </c:pt>
                <c:pt idx="18">
                  <c:v>М19</c:v>
                </c:pt>
                <c:pt idx="19">
                  <c:v>М20</c:v>
                </c:pt>
                <c:pt idx="20">
                  <c:v>М21</c:v>
                </c:pt>
                <c:pt idx="21">
                  <c:v>М22</c:v>
                </c:pt>
                <c:pt idx="22">
                  <c:v>М23</c:v>
                </c:pt>
                <c:pt idx="23">
                  <c:v>М24</c:v>
                </c:pt>
                <c:pt idx="24">
                  <c:v>М25</c:v>
                </c:pt>
                <c:pt idx="25">
                  <c:v>М26</c:v>
                </c:pt>
                <c:pt idx="26">
                  <c:v>М27</c:v>
                </c:pt>
                <c:pt idx="27">
                  <c:v>М28</c:v>
                </c:pt>
                <c:pt idx="28">
                  <c:v>М29</c:v>
                </c:pt>
                <c:pt idx="29">
                  <c:v>М30</c:v>
                </c:pt>
                <c:pt idx="30">
                  <c:v>М31</c:v>
                </c:pt>
                <c:pt idx="31">
                  <c:v>М32</c:v>
                </c:pt>
                <c:pt idx="32">
                  <c:v>М33</c:v>
                </c:pt>
                <c:pt idx="33">
                  <c:v>М34</c:v>
                </c:pt>
                <c:pt idx="34">
                  <c:v>М35</c:v>
                </c:pt>
                <c:pt idx="35">
                  <c:v>М36</c:v>
                </c:pt>
              </c:strCache>
            </c:strRef>
          </c:cat>
          <c:val>
            <c:numRef>
              <c:f>'План 36 месяцев'!$C$18:$AK$18</c:f>
              <c:numCache>
                <c:formatCode>#,##0.00" бел. руб.";[RED]\(#,##0.00" бел. руб.)";\-</c:formatCode>
                <c:ptCount val="35"/>
                <c:pt idx="0">
                  <c:v>-3769.25216</c:v>
                </c:pt>
                <c:pt idx="1">
                  <c:v>-2446.918228</c:v>
                </c:pt>
                <c:pt idx="2">
                  <c:v>-3042.175716</c:v>
                </c:pt>
                <c:pt idx="3">
                  <c:v>-1430.137872</c:v>
                </c:pt>
                <c:pt idx="4">
                  <c:v>529.578704</c:v>
                </c:pt>
                <c:pt idx="5">
                  <c:v>-428.238568000001</c:v>
                </c:pt>
                <c:pt idx="6">
                  <c:v>1714.33958</c:v>
                </c:pt>
                <c:pt idx="7">
                  <c:v>3786.316215</c:v>
                </c:pt>
                <c:pt idx="8">
                  <c:v>5884.09871500001</c:v>
                </c:pt>
                <c:pt idx="9">
                  <c:v>8050.10768</c:v>
                </c:pt>
                <c:pt idx="10">
                  <c:v>10312.62351</c:v>
                </c:pt>
                <c:pt idx="11">
                  <c:v>8773.39</c:v>
                </c:pt>
                <c:pt idx="12">
                  <c:v>10611.616</c:v>
                </c:pt>
                <c:pt idx="13">
                  <c:v>10611.616</c:v>
                </c:pt>
                <c:pt idx="14">
                  <c:v>12449.842</c:v>
                </c:pt>
                <c:pt idx="15">
                  <c:v>12449.842</c:v>
                </c:pt>
                <c:pt idx="16">
                  <c:v>14288.068</c:v>
                </c:pt>
                <c:pt idx="17">
                  <c:v>14288.068</c:v>
                </c:pt>
                <c:pt idx="18">
                  <c:v>16126.294</c:v>
                </c:pt>
                <c:pt idx="19">
                  <c:v>16126.294</c:v>
                </c:pt>
                <c:pt idx="20">
                  <c:v>17964.52</c:v>
                </c:pt>
                <c:pt idx="21">
                  <c:v>17964.52</c:v>
                </c:pt>
                <c:pt idx="22">
                  <c:v>19802.746</c:v>
                </c:pt>
                <c:pt idx="23">
                  <c:v>16402.746</c:v>
                </c:pt>
                <c:pt idx="24">
                  <c:v>18240.972</c:v>
                </c:pt>
                <c:pt idx="25">
                  <c:v>18240.972</c:v>
                </c:pt>
                <c:pt idx="26">
                  <c:v>20079.198</c:v>
                </c:pt>
                <c:pt idx="27">
                  <c:v>20079.198</c:v>
                </c:pt>
                <c:pt idx="28">
                  <c:v>21917.424</c:v>
                </c:pt>
                <c:pt idx="29">
                  <c:v>21917.424</c:v>
                </c:pt>
                <c:pt idx="30">
                  <c:v>21917.424</c:v>
                </c:pt>
                <c:pt idx="31">
                  <c:v>21917.424</c:v>
                </c:pt>
                <c:pt idx="32">
                  <c:v>21917.424</c:v>
                </c:pt>
                <c:pt idx="33">
                  <c:v>21917.424</c:v>
                </c:pt>
                <c:pt idx="34">
                  <c:v>21917.424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238930"/>
        <c:axId val="98004380"/>
      </c:lineChart>
      <c:catAx>
        <c:axId val="62238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004380"/>
        <c:crosses val="autoZero"/>
        <c:auto val="1"/>
        <c:lblAlgn val="ctr"/>
        <c:lblOffset val="100"/>
        <c:noMultiLvlLbl val="0"/>
      </c:catAx>
      <c:valAx>
        <c:axId val="98004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BYN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BYN&quot;;[RED]\(#,##0.00&quot; BYN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38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Распределение бюджета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numFmt formatCode="#,##0.00&quot; BYN&quot;;[RED]\(#,##0.00&quot; BYN)&quot;;\-" sourceLinked="1"/>
            <c:dLbl>
              <c:idx val="0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.00&quot; BYN&quot;;[RED]\(#,##0.00&quot; BYN)&quot;;\-" sourceLinked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'Потребность в деньгах'!$A$5:$A$12</c:f>
              <c:strCache>
                <c:ptCount val="8"/>
                <c:pt idx="0">
                  <c:v>Технологическая и производственная подготовка</c:v>
                </c:pt>
                <c:pt idx="1">
                  <c:v>Запуск кухни и первая партия</c:v>
                </c:pt>
                <c:pt idx="2">
                  <c:v>Упаковка и маркировка</c:v>
                </c:pt>
                <c:pt idx="3">
                  <c:v>Логистика и холодовая цепь</c:v>
                </c:pt>
                <c:pt idx="4">
                  <c:v>Продвижение и продажи</c:v>
                </c:pt>
                <c:pt idx="5">
                  <c:v>Оборотный капитал</c:v>
                </c:pt>
                <c:pt idx="6">
                  <c:v>Правовой, бухгалтерский и платёжный контур</c:v>
                </c:pt>
                <c:pt idx="7">
                  <c:v>Резерв</c:v>
                </c:pt>
              </c:strCache>
            </c:strRef>
          </c:cat>
          <c:val>
            <c:numRef>
              <c:f>'Потребность в деньгах'!$B$5:$B$12</c:f>
              <c:numCache>
                <c:formatCode>#,##0.00" бел. руб.";[RED]\(#,##0.00" бел. руб.)";\-</c:formatCode>
                <c:ptCount val="8"/>
                <c:pt idx="0">
                  <c:v>8200</c:v>
                </c:pt>
                <c:pt idx="1">
                  <c:v>7600</c:v>
                </c:pt>
                <c:pt idx="2">
                  <c:v>4800</c:v>
                </c:pt>
                <c:pt idx="3">
                  <c:v>3200</c:v>
                </c:pt>
                <c:pt idx="4">
                  <c:v>8500</c:v>
                </c:pt>
                <c:pt idx="5">
                  <c:v>20500</c:v>
                </c:pt>
                <c:pt idx="6">
                  <c:v>2600</c:v>
                </c:pt>
                <c:pt idx="7">
                  <c:v>12600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15</xdr:col>
      <xdr:colOff>38160</xdr:colOff>
      <xdr:row>15</xdr:row>
      <xdr:rowOff>23040</xdr:rowOff>
    </xdr:to>
    <xdr:graphicFrame>
      <xdr:nvGraphicFramePr>
        <xdr:cNvPr id="0" name="Chart 1"/>
        <xdr:cNvGraphicFramePr/>
      </xdr:nvGraphicFramePr>
      <xdr:xfrm>
        <a:off x="13228200" y="1047600"/>
        <a:ext cx="431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11520</xdr:rowOff>
    </xdr:from>
    <xdr:to>
      <xdr:col>5</xdr:col>
      <xdr:colOff>558000</xdr:colOff>
      <xdr:row>34</xdr:row>
      <xdr:rowOff>33120</xdr:rowOff>
    </xdr:to>
    <xdr:graphicFrame>
      <xdr:nvGraphicFramePr>
        <xdr:cNvPr id="1" name="Chart 1"/>
        <xdr:cNvGraphicFramePr/>
      </xdr:nvGraphicFramePr>
      <xdr:xfrm>
        <a:off x="0" y="4831200"/>
        <a:ext cx="64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38520</xdr:colOff>
      <xdr:row>15</xdr:row>
      <xdr:rowOff>9720</xdr:rowOff>
    </xdr:to>
    <xdr:graphicFrame>
      <xdr:nvGraphicFramePr>
        <xdr:cNvPr id="2" name="Chart 1"/>
        <xdr:cNvGraphicFramePr/>
      </xdr:nvGraphicFramePr>
      <xdr:xfrm>
        <a:off x="15483960" y="1047600"/>
        <a:ext cx="4318920" cy="284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5" customFormat="false" ht="37.5" hidden="false" customHeight="true" outlineLevel="0" collapsed="false">
      <c r="A5" s="4" t="s">
        <v>2</v>
      </c>
      <c r="B5" s="5" t="s">
        <v>3</v>
      </c>
      <c r="C5" s="5"/>
      <c r="D5" s="5"/>
      <c r="E5" s="5"/>
      <c r="F5" s="5"/>
      <c r="G5" s="5"/>
      <c r="H5" s="5"/>
    </row>
    <row r="6" customFormat="false" ht="37.5" hidden="false" customHeight="true" outlineLevel="0" collapsed="false">
      <c r="A6" s="4" t="s">
        <v>4</v>
      </c>
      <c r="B6" s="5" t="s">
        <v>5</v>
      </c>
      <c r="C6" s="5"/>
      <c r="D6" s="5"/>
      <c r="E6" s="5"/>
      <c r="F6" s="5"/>
      <c r="G6" s="5"/>
      <c r="H6" s="5"/>
    </row>
    <row r="7" customFormat="false" ht="37.5" hidden="false" customHeight="true" outlineLevel="0" collapsed="false">
      <c r="A7" s="4" t="s">
        <v>6</v>
      </c>
      <c r="B7" s="5" t="s">
        <v>7</v>
      </c>
      <c r="C7" s="5"/>
      <c r="D7" s="5"/>
      <c r="E7" s="5"/>
      <c r="F7" s="5"/>
      <c r="G7" s="5"/>
      <c r="H7" s="5"/>
    </row>
    <row r="8" customFormat="false" ht="37.5" hidden="false" customHeight="true" outlineLevel="0" collapsed="false">
      <c r="A8" s="4" t="s">
        <v>8</v>
      </c>
      <c r="B8" s="5" t="s">
        <v>9</v>
      </c>
      <c r="C8" s="5"/>
      <c r="D8" s="5"/>
      <c r="E8" s="5"/>
      <c r="F8" s="5"/>
      <c r="G8" s="5"/>
      <c r="H8" s="5"/>
    </row>
  </sheetData>
  <mergeCells count="6">
    <mergeCell ref="A1:H1"/>
    <mergeCell ref="A2:H2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18"/>
    <col collapsed="false" customWidth="true" hidden="false" outlineLevel="0" max="7" min="7" style="1" width="45"/>
    <col collapsed="false" customWidth="true" hidden="false" outlineLevel="0" max="8" min="8" style="1" width="35"/>
    <col collapsed="false" customWidth="true" hidden="false" outlineLevel="0" max="10" min="10" style="1" width="18"/>
    <col collapsed="false" customWidth="true" hidden="false" outlineLevel="0" max="11" min="11" style="1" width="22"/>
  </cols>
  <sheetData>
    <row r="1" customFormat="false" ht="36" hidden="false" customHeight="true" outlineLevel="0" collapsed="false">
      <c r="A1" s="2" t="s">
        <v>10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3" t="s">
        <v>11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J4" s="7" t="s">
        <v>20</v>
      </c>
    </row>
    <row r="5" customFormat="false" ht="15" hidden="false" customHeight="true" outlineLevel="0" collapsed="false">
      <c r="A5" s="8" t="s">
        <v>21</v>
      </c>
      <c r="B5" s="8" t="s">
        <v>22</v>
      </c>
      <c r="C5" s="9" t="n">
        <v>43.5</v>
      </c>
      <c r="D5" s="9" t="n">
        <v>44.35</v>
      </c>
      <c r="E5" s="9" t="n">
        <v>45.2</v>
      </c>
      <c r="F5" s="8" t="s">
        <v>23</v>
      </c>
      <c r="G5" s="10" t="s">
        <v>24</v>
      </c>
      <c r="H5" s="8"/>
      <c r="J5" s="11" t="s">
        <v>15</v>
      </c>
    </row>
    <row r="6" customFormat="false" ht="15" hidden="false" customHeight="true" outlineLevel="0" collapsed="false">
      <c r="A6" s="8" t="s">
        <v>25</v>
      </c>
      <c r="B6" s="8" t="s">
        <v>26</v>
      </c>
      <c r="C6" s="9" t="n">
        <v>16.5</v>
      </c>
      <c r="D6" s="9" t="n">
        <v>15.45</v>
      </c>
      <c r="E6" s="9" t="n">
        <v>14.5</v>
      </c>
      <c r="F6" s="8" t="s">
        <v>27</v>
      </c>
      <c r="G6" s="10" t="s">
        <v>28</v>
      </c>
      <c r="H6" s="8"/>
    </row>
    <row r="7" customFormat="false" ht="31.5" hidden="false" customHeight="true" outlineLevel="0" collapsed="false">
      <c r="A7" s="6"/>
      <c r="B7" s="8" t="s">
        <v>29</v>
      </c>
      <c r="C7" s="9" t="n">
        <v>14.2</v>
      </c>
      <c r="D7" s="9" t="n">
        <v>13.35</v>
      </c>
      <c r="E7" s="9" t="n">
        <v>12.7</v>
      </c>
      <c r="F7" s="8" t="s">
        <v>27</v>
      </c>
      <c r="G7" s="10" t="s">
        <v>30</v>
      </c>
      <c r="H7" s="8" t="s">
        <v>31</v>
      </c>
      <c r="J7" s="7" t="s">
        <v>12</v>
      </c>
      <c r="K7" s="7" t="s">
        <v>32</v>
      </c>
    </row>
    <row r="8" customFormat="false" ht="15" hidden="false" customHeight="true" outlineLevel="0" collapsed="false">
      <c r="A8" s="8" t="s">
        <v>33</v>
      </c>
      <c r="B8" s="8" t="s">
        <v>34</v>
      </c>
      <c r="C8" s="9" t="n">
        <v>8</v>
      </c>
      <c r="D8" s="9" t="n">
        <v>6.5</v>
      </c>
      <c r="E8" s="9" t="n">
        <v>6</v>
      </c>
      <c r="F8" s="8" t="s">
        <v>27</v>
      </c>
      <c r="G8" s="10" t="s">
        <v>35</v>
      </c>
      <c r="H8" s="8" t="s">
        <v>31</v>
      </c>
      <c r="J8" s="1" t="s">
        <v>21</v>
      </c>
      <c r="K8" s="12" t="n">
        <f aca="false">IF($J$5="Осторожный",C5,IF($J$5="Успешный",E5,D5))</f>
        <v>44.35</v>
      </c>
    </row>
    <row r="9" customFormat="false" ht="15" hidden="false" customHeight="true" outlineLevel="0" collapsed="false">
      <c r="A9" s="8" t="s">
        <v>36</v>
      </c>
      <c r="B9" s="8" t="s">
        <v>37</v>
      </c>
      <c r="C9" s="9" t="n">
        <v>6.5</v>
      </c>
      <c r="D9" s="9" t="n">
        <v>5.5</v>
      </c>
      <c r="E9" s="9" t="n">
        <v>4.8</v>
      </c>
      <c r="F9" s="8" t="s">
        <v>27</v>
      </c>
      <c r="G9" s="10" t="s">
        <v>35</v>
      </c>
      <c r="H9" s="8" t="s">
        <v>31</v>
      </c>
      <c r="J9" s="1" t="s">
        <v>25</v>
      </c>
      <c r="K9" s="12" t="n">
        <f aca="false">IF($J$5="Осторожный",C6,IF($J$5="Успешный",E6,D6))</f>
        <v>15.45</v>
      </c>
    </row>
    <row r="10" customFormat="false" ht="15" hidden="false" customHeight="true" outlineLevel="0" collapsed="false">
      <c r="A10" s="8" t="s">
        <v>38</v>
      </c>
      <c r="B10" s="8" t="s">
        <v>39</v>
      </c>
      <c r="C10" s="9" t="n">
        <v>4.2</v>
      </c>
      <c r="D10" s="9" t="n">
        <v>3.65</v>
      </c>
      <c r="E10" s="9" t="n">
        <v>3.4</v>
      </c>
      <c r="F10" s="8" t="s">
        <v>27</v>
      </c>
      <c r="G10" s="10" t="s">
        <v>40</v>
      </c>
      <c r="H10" s="8" t="s">
        <v>31</v>
      </c>
      <c r="J10" s="1" t="s">
        <v>41</v>
      </c>
      <c r="K10" s="12" t="n">
        <f aca="false">IF($J$5="Осторожный",C7,IF($J$5="Успешный",E7,D7))</f>
        <v>13.35</v>
      </c>
    </row>
    <row r="11" customFormat="false" ht="15" hidden="false" customHeight="true" outlineLevel="0" collapsed="false">
      <c r="A11" s="8" t="s">
        <v>42</v>
      </c>
      <c r="B11" s="8" t="s">
        <v>43</v>
      </c>
      <c r="C11" s="9" t="n">
        <v>3.7</v>
      </c>
      <c r="D11" s="9" t="n">
        <v>3.2</v>
      </c>
      <c r="E11" s="9" t="n">
        <v>2.9</v>
      </c>
      <c r="F11" s="8" t="s">
        <v>27</v>
      </c>
      <c r="G11" s="10" t="s">
        <v>30</v>
      </c>
      <c r="H11" s="8" t="s">
        <v>31</v>
      </c>
      <c r="J11" s="1" t="s">
        <v>33</v>
      </c>
      <c r="K11" s="12" t="n">
        <f aca="false">IF($J$5="Осторожный",C8,IF($J$5="Успешный",E8,D8))</f>
        <v>6.5</v>
      </c>
    </row>
    <row r="12" customFormat="false" ht="15" hidden="false" customHeight="true" outlineLevel="0" collapsed="false">
      <c r="A12" s="8" t="s">
        <v>44</v>
      </c>
      <c r="B12" s="8" t="s">
        <v>45</v>
      </c>
      <c r="C12" s="9" t="n">
        <v>4.5</v>
      </c>
      <c r="D12" s="9" t="n">
        <v>3.4</v>
      </c>
      <c r="E12" s="9" t="n">
        <v>3</v>
      </c>
      <c r="F12" s="8" t="s">
        <v>27</v>
      </c>
      <c r="G12" s="10" t="s">
        <v>46</v>
      </c>
      <c r="H12" s="8" t="s">
        <v>47</v>
      </c>
      <c r="J12" s="1" t="s">
        <v>36</v>
      </c>
      <c r="K12" s="12" t="n">
        <f aca="false">IF($J$5="Осторожный",C9,IF($J$5="Успешный",E9,D9))</f>
        <v>5.5</v>
      </c>
    </row>
    <row r="13" customFormat="false" ht="15" hidden="false" customHeight="true" outlineLevel="0" collapsed="false">
      <c r="A13" s="8" t="s">
        <v>48</v>
      </c>
      <c r="B13" s="8" t="s">
        <v>49</v>
      </c>
      <c r="C13" s="9" t="n">
        <v>3.5</v>
      </c>
      <c r="D13" s="9" t="n">
        <v>2.8</v>
      </c>
      <c r="E13" s="9" t="n">
        <v>2.4</v>
      </c>
      <c r="F13" s="8" t="s">
        <v>27</v>
      </c>
      <c r="G13" s="10" t="s">
        <v>50</v>
      </c>
      <c r="H13" s="8" t="s">
        <v>47</v>
      </c>
      <c r="J13" s="1" t="s">
        <v>38</v>
      </c>
      <c r="K13" s="12" t="n">
        <f aca="false">IF($J$5="Осторожный",C10,IF($J$5="Успешный",E10,D10))</f>
        <v>3.65</v>
      </c>
    </row>
    <row r="14" customFormat="false" ht="15" hidden="false" customHeight="true" outlineLevel="0" collapsed="false">
      <c r="A14" s="8" t="s">
        <v>51</v>
      </c>
      <c r="B14" s="8" t="s">
        <v>52</v>
      </c>
      <c r="C14" s="9" t="n">
        <v>1.8</v>
      </c>
      <c r="D14" s="9" t="n">
        <v>1.5</v>
      </c>
      <c r="E14" s="9" t="n">
        <v>1.3</v>
      </c>
      <c r="F14" s="8" t="s">
        <v>27</v>
      </c>
      <c r="G14" s="10" t="s">
        <v>53</v>
      </c>
      <c r="H14" s="8"/>
      <c r="J14" s="1" t="s">
        <v>42</v>
      </c>
      <c r="K14" s="12" t="n">
        <f aca="false">IF($J$5="Осторожный",C11,IF($J$5="Успешный",E11,D11))</f>
        <v>3.2</v>
      </c>
    </row>
    <row r="15" customFormat="false" ht="15" hidden="false" customHeight="true" outlineLevel="0" collapsed="false">
      <c r="A15" s="8" t="s">
        <v>54</v>
      </c>
      <c r="B15" s="8" t="s">
        <v>55</v>
      </c>
      <c r="C15" s="13" t="n">
        <v>0.05</v>
      </c>
      <c r="D15" s="13" t="n">
        <v>0.03</v>
      </c>
      <c r="E15" s="13" t="n">
        <v>0.02</v>
      </c>
      <c r="F15" s="8" t="s">
        <v>56</v>
      </c>
      <c r="G15" s="10" t="s">
        <v>57</v>
      </c>
      <c r="H15" s="8"/>
      <c r="J15" s="1" t="s">
        <v>44</v>
      </c>
      <c r="K15" s="12" t="n">
        <f aca="false">IF($J$5="Осторожный",C12,IF($J$5="Успешный",E12,D12))</f>
        <v>3.4</v>
      </c>
    </row>
    <row r="16" customFormat="false" ht="15" hidden="false" customHeight="true" outlineLevel="0" collapsed="false">
      <c r="A16" s="8" t="s">
        <v>58</v>
      </c>
      <c r="B16" s="8" t="s">
        <v>59</v>
      </c>
      <c r="C16" s="13" t="n">
        <v>0.022</v>
      </c>
      <c r="D16" s="13" t="n">
        <v>0.018</v>
      </c>
      <c r="E16" s="13" t="n">
        <v>0.015</v>
      </c>
      <c r="F16" s="8" t="s">
        <v>60</v>
      </c>
      <c r="G16" s="10" t="s">
        <v>61</v>
      </c>
      <c r="H16" s="8"/>
      <c r="J16" s="1" t="s">
        <v>48</v>
      </c>
      <c r="K16" s="12" t="n">
        <f aca="false">IF($J$5="Осторожный",C13,IF($J$5="Успешный",E13,D13))</f>
        <v>2.8</v>
      </c>
    </row>
    <row r="17" customFormat="false" ht="15" hidden="false" customHeight="true" outlineLevel="0" collapsed="false">
      <c r="A17" s="8" t="s">
        <v>62</v>
      </c>
      <c r="B17" s="8" t="s">
        <v>63</v>
      </c>
      <c r="C17" s="13" t="n">
        <v>0.08</v>
      </c>
      <c r="D17" s="13" t="n">
        <v>0.06</v>
      </c>
      <c r="E17" s="13" t="n">
        <v>0.04</v>
      </c>
      <c r="F17" s="8" t="s">
        <v>60</v>
      </c>
      <c r="G17" s="10" t="s">
        <v>64</v>
      </c>
      <c r="H17" s="8" t="s">
        <v>65</v>
      </c>
      <c r="J17" s="1" t="s">
        <v>51</v>
      </c>
      <c r="K17" s="12" t="n">
        <f aca="false">IF($J$5="Осторожный",C14,IF($J$5="Успешный",E14,D14))</f>
        <v>1.5</v>
      </c>
    </row>
    <row r="18" customFormat="false" ht="15" hidden="false" customHeight="true" outlineLevel="0" collapsed="false">
      <c r="A18" s="8" t="s">
        <v>66</v>
      </c>
      <c r="B18" s="8" t="s">
        <v>67</v>
      </c>
      <c r="C18" s="9" t="n">
        <v>7</v>
      </c>
      <c r="D18" s="9" t="n">
        <v>5.5</v>
      </c>
      <c r="E18" s="9" t="n">
        <v>4.5</v>
      </c>
      <c r="F18" s="8" t="s">
        <v>68</v>
      </c>
      <c r="G18" s="10" t="s">
        <v>69</v>
      </c>
      <c r="H18" s="8"/>
      <c r="J18" s="1" t="s">
        <v>54</v>
      </c>
      <c r="K18" s="14" t="n">
        <f aca="false">IF($J$5="Осторожный",C15,IF($J$5="Успешный",E15,D15))</f>
        <v>0.03</v>
      </c>
    </row>
    <row r="19" customFormat="false" ht="15" hidden="false" customHeight="true" outlineLevel="0" collapsed="false">
      <c r="A19" s="8" t="s">
        <v>70</v>
      </c>
      <c r="B19" s="8" t="s">
        <v>71</v>
      </c>
      <c r="C19" s="13" t="n">
        <v>0.16</v>
      </c>
      <c r="D19" s="13" t="n">
        <v>0.22</v>
      </c>
      <c r="E19" s="13" t="n">
        <v>0.28</v>
      </c>
      <c r="F19" s="8" t="s">
        <v>72</v>
      </c>
      <c r="G19" s="10" t="s">
        <v>69</v>
      </c>
      <c r="H19" s="8"/>
      <c r="J19" s="1" t="s">
        <v>58</v>
      </c>
      <c r="K19" s="14" t="n">
        <f aca="false">IF($J$5="Осторожный",C16,IF($J$5="Успешный",E16,D16))</f>
        <v>0.018</v>
      </c>
    </row>
    <row r="20" customFormat="false" ht="15" hidden="false" customHeight="true" outlineLevel="0" collapsed="false">
      <c r="A20" s="8" t="s">
        <v>73</v>
      </c>
      <c r="B20" s="8" t="s">
        <v>74</v>
      </c>
      <c r="C20" s="13" t="n">
        <v>0.28</v>
      </c>
      <c r="D20" s="13" t="n">
        <v>0.4</v>
      </c>
      <c r="E20" s="13" t="n">
        <v>0.52</v>
      </c>
      <c r="F20" s="8" t="s">
        <v>72</v>
      </c>
      <c r="G20" s="10" t="s">
        <v>75</v>
      </c>
      <c r="H20" s="8"/>
      <c r="J20" s="1" t="s">
        <v>62</v>
      </c>
      <c r="K20" s="14" t="n">
        <f aca="false">IF($J$5="Осторожный",C17,IF($J$5="Успешный",E17,D17))</f>
        <v>0.06</v>
      </c>
    </row>
    <row r="21" customFormat="false" ht="15" hidden="false" customHeight="true" outlineLevel="0" collapsed="false">
      <c r="A21" s="8" t="s">
        <v>76</v>
      </c>
      <c r="B21" s="8" t="s">
        <v>77</v>
      </c>
      <c r="C21" s="13" t="n">
        <v>0.15</v>
      </c>
      <c r="D21" s="13" t="n">
        <v>0.25</v>
      </c>
      <c r="E21" s="13" t="n">
        <v>0.35</v>
      </c>
      <c r="F21" s="8" t="s">
        <v>72</v>
      </c>
      <c r="G21" s="10" t="s">
        <v>75</v>
      </c>
      <c r="H21" s="8"/>
      <c r="J21" s="1" t="s">
        <v>66</v>
      </c>
      <c r="K21" s="12" t="n">
        <f aca="false">IF($J$5="Осторожный",C18,IF($J$5="Успешный",E18,D18))</f>
        <v>5.5</v>
      </c>
    </row>
    <row r="22" customFormat="false" ht="15" hidden="false" customHeight="true" outlineLevel="0" collapsed="false">
      <c r="A22" s="8" t="s">
        <v>78</v>
      </c>
      <c r="B22" s="8" t="s">
        <v>79</v>
      </c>
      <c r="C22" s="13" t="n">
        <v>0.08</v>
      </c>
      <c r="D22" s="13" t="n">
        <v>0.15</v>
      </c>
      <c r="E22" s="13" t="n">
        <v>0.22</v>
      </c>
      <c r="F22" s="8" t="s">
        <v>72</v>
      </c>
      <c r="G22" s="10" t="s">
        <v>75</v>
      </c>
      <c r="H22" s="8"/>
      <c r="J22" s="1" t="s">
        <v>70</v>
      </c>
      <c r="K22" s="14" t="n">
        <f aca="false">IF($J$5="Осторожный",C19,IF($J$5="Успешный",E19,D19))</f>
        <v>0.22</v>
      </c>
    </row>
    <row r="23" customFormat="false" ht="15" hidden="false" customHeight="true" outlineLevel="0" collapsed="false">
      <c r="A23" s="8" t="s">
        <v>80</v>
      </c>
      <c r="B23" s="8" t="s">
        <v>81</v>
      </c>
      <c r="C23" s="15" t="n">
        <v>4</v>
      </c>
      <c r="D23" s="15" t="n">
        <v>5</v>
      </c>
      <c r="E23" s="15" t="n">
        <v>6</v>
      </c>
      <c r="F23" s="8" t="s">
        <v>82</v>
      </c>
      <c r="G23" s="10" t="s">
        <v>75</v>
      </c>
      <c r="H23" s="8"/>
      <c r="J23" s="1" t="s">
        <v>73</v>
      </c>
      <c r="K23" s="14" t="n">
        <f aca="false">IF($J$5="Осторожный",C20,IF($J$5="Успешный",E20,D20))</f>
        <v>0.4</v>
      </c>
    </row>
    <row r="24" customFormat="false" ht="15" hidden="false" customHeight="true" outlineLevel="0" collapsed="false">
      <c r="A24" s="8" t="s">
        <v>83</v>
      </c>
      <c r="B24" s="8" t="s">
        <v>84</v>
      </c>
      <c r="C24" s="15" t="n">
        <v>24</v>
      </c>
      <c r="D24" s="15" t="n">
        <v>26</v>
      </c>
      <c r="E24" s="15" t="n">
        <v>27</v>
      </c>
      <c r="F24" s="8" t="s">
        <v>82</v>
      </c>
      <c r="G24" s="10" t="s">
        <v>85</v>
      </c>
      <c r="H24" s="8"/>
      <c r="J24" s="1" t="s">
        <v>76</v>
      </c>
      <c r="K24" s="14" t="n">
        <f aca="false">IF($J$5="Осторожный",C21,IF($J$5="Успешный",E21,D21))</f>
        <v>0.25</v>
      </c>
    </row>
    <row r="25" customFormat="false" ht="15" hidden="false" customHeight="true" outlineLevel="0" collapsed="false">
      <c r="A25" s="8" t="s">
        <v>86</v>
      </c>
      <c r="B25" s="8" t="s">
        <v>87</v>
      </c>
      <c r="C25" s="9" t="n">
        <v>14000</v>
      </c>
      <c r="D25" s="9" t="n">
        <v>12000</v>
      </c>
      <c r="E25" s="9" t="n">
        <v>11500</v>
      </c>
      <c r="F25" s="8" t="s">
        <v>88</v>
      </c>
      <c r="G25" s="10" t="s">
        <v>89</v>
      </c>
      <c r="H25" s="8"/>
      <c r="J25" s="1" t="s">
        <v>78</v>
      </c>
      <c r="K25" s="14" t="n">
        <f aca="false">IF($J$5="Осторожный",C22,IF($J$5="Успешный",E22,D22))</f>
        <v>0.15</v>
      </c>
    </row>
    <row r="26" customFormat="false" ht="15" hidden="false" customHeight="true" outlineLevel="0" collapsed="false">
      <c r="A26" s="8" t="s">
        <v>90</v>
      </c>
      <c r="B26" s="8" t="s">
        <v>91</v>
      </c>
      <c r="C26" s="9" t="n">
        <v>12000</v>
      </c>
      <c r="D26" s="9" t="n">
        <v>10000</v>
      </c>
      <c r="E26" s="9" t="n">
        <v>9000</v>
      </c>
      <c r="F26" s="8" t="s">
        <v>23</v>
      </c>
      <c r="G26" s="10" t="s">
        <v>92</v>
      </c>
      <c r="H26" s="8"/>
      <c r="J26" s="1" t="s">
        <v>80</v>
      </c>
      <c r="K26" s="16" t="n">
        <f aca="false">IF($J$5="Осторожный",C23,IF($J$5="Успешный",E23,D23))</f>
        <v>5</v>
      </c>
    </row>
    <row r="27" customFormat="false" ht="15" hidden="false" customHeight="true" outlineLevel="0" collapsed="false">
      <c r="J27" s="1" t="s">
        <v>83</v>
      </c>
      <c r="K27" s="16" t="n">
        <f aca="false">IF($J$5="Осторожный",C24,IF($J$5="Успешный",E24,D24))</f>
        <v>26</v>
      </c>
    </row>
    <row r="28" customFormat="false" ht="15" hidden="false" customHeight="true" outlineLevel="0" collapsed="false">
      <c r="J28" s="1" t="s">
        <v>86</v>
      </c>
      <c r="K28" s="12" t="n">
        <f aca="false">IF($J$5="Осторожный",C25,IF($J$5="Успешный",E25,D25))</f>
        <v>12000</v>
      </c>
    </row>
    <row r="29" customFormat="false" ht="15" hidden="false" customHeight="true" outlineLevel="0" collapsed="false">
      <c r="J29" s="1" t="s">
        <v>90</v>
      </c>
      <c r="K29" s="12" t="n">
        <f aca="false">IF($J$5="Осторожный",C26,IF($J$5="Успешный",E26,D26))</f>
        <v>10000</v>
      </c>
    </row>
  </sheetData>
  <mergeCells count="2">
    <mergeCell ref="A1:H1"/>
    <mergeCell ref="A2:H2"/>
  </mergeCells>
  <dataValidations count="1">
    <dataValidation allowBlank="false" errorStyle="stop" operator="between" showDropDown="false" showErrorMessage="false" showInputMessage="false" sqref="J5" type="list">
      <formula1>"Осторожный,Основной,Успешный"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48"/>
    <col collapsed="false" customWidth="true" hidden="false" outlineLevel="0" max="7" min="7" style="1" width="18"/>
  </cols>
  <sheetData>
    <row r="1" customFormat="false" ht="36" hidden="false" customHeight="true" outlineLevel="0" collapsed="false">
      <c r="A1" s="2" t="s">
        <v>93</v>
      </c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6" t="s">
        <v>13</v>
      </c>
      <c r="B4" s="6" t="s">
        <v>95</v>
      </c>
      <c r="C4" s="6" t="s">
        <v>96</v>
      </c>
      <c r="D4" s="6" t="s">
        <v>17</v>
      </c>
      <c r="E4" s="6" t="s">
        <v>97</v>
      </c>
      <c r="F4" s="6" t="s">
        <v>19</v>
      </c>
      <c r="G4" s="6" t="s">
        <v>98</v>
      </c>
    </row>
    <row r="5" customFormat="false" ht="15" hidden="false" customHeight="true" outlineLevel="0" collapsed="false">
      <c r="A5" s="8" t="s">
        <v>99</v>
      </c>
      <c r="B5" s="17" t="n">
        <f aca="false">INDEX('Исходные данные'!$K$8:$K$29,MATCH("A01",'Исходные данные'!$J$8:$J$29,0))</f>
        <v>44.35</v>
      </c>
      <c r="C5" s="17" t="n">
        <f aca="false">INDEX('Исходные данные'!$K$8:$K$29,MATCH("A01",'Исходные данные'!$J$8:$J$29,0))</f>
        <v>44.35</v>
      </c>
      <c r="D5" s="8" t="s">
        <v>23</v>
      </c>
      <c r="E5" s="18" t="n">
        <f aca="false">B5/B$5</f>
        <v>1</v>
      </c>
      <c r="F5" s="8"/>
      <c r="G5" s="19" t="str">
        <f aca="false">IF(OR(B5&lt;0,C5&lt;0),"ПРОВЕРИТЬ","ПРОЙДЕНО")</f>
        <v>ПРОЙДЕНО</v>
      </c>
    </row>
    <row r="6" customFormat="false" ht="15" hidden="false" customHeight="true" outlineLevel="0" collapsed="false">
      <c r="A6" s="8" t="s">
        <v>100</v>
      </c>
      <c r="B6" s="17" t="n">
        <f aca="false">INDEX('Исходные данные'!$K$8:$K$29,MATCH("A02",'Исходные данные'!$J$8:$J$29,0))</f>
        <v>15.45</v>
      </c>
      <c r="C6" s="17" t="n">
        <f aca="false">INDEX('Исходные данные'!$K$8:$K$29,MATCH("A03",'Исходные данные'!$J$8:$J$29,0))</f>
        <v>13.35</v>
      </c>
      <c r="D6" s="8" t="s">
        <v>23</v>
      </c>
      <c r="E6" s="18" t="n">
        <f aca="false">B6/B$5</f>
        <v>0.34836527621195</v>
      </c>
      <c r="F6" s="8"/>
      <c r="G6" s="19" t="str">
        <f aca="false">IF(OR(B6&lt;0,C6&lt;0),"ПРОВЕРИТЬ","ПРОЙДЕНО")</f>
        <v>ПРОЙДЕНО</v>
      </c>
    </row>
    <row r="7" customFormat="false" ht="15" hidden="false" customHeight="true" outlineLevel="0" collapsed="false">
      <c r="A7" s="8" t="s">
        <v>101</v>
      </c>
      <c r="B7" s="17" t="n">
        <f aca="false">INDEX('Исходные данные'!$K$8:$K$29,MATCH("A04",'Исходные данные'!$J$8:$J$29,0))</f>
        <v>6.5</v>
      </c>
      <c r="C7" s="17" t="n">
        <f aca="false">INDEX('Исходные данные'!$K$8:$K$29,MATCH("A05",'Исходные данные'!$J$8:$J$29,0))</f>
        <v>5.5</v>
      </c>
      <c r="D7" s="8" t="s">
        <v>23</v>
      </c>
      <c r="E7" s="18" t="n">
        <f aca="false">B7/B$5</f>
        <v>0.146561443066516</v>
      </c>
      <c r="F7" s="8"/>
      <c r="G7" s="19" t="str">
        <f aca="false">IF(OR(B7&lt;0,C7&lt;0),"ПРОВЕРИТЬ","ПРОЙДЕНО")</f>
        <v>ПРОЙДЕНО</v>
      </c>
    </row>
    <row r="8" customFormat="false" ht="15" hidden="false" customHeight="true" outlineLevel="0" collapsed="false">
      <c r="A8" s="8" t="s">
        <v>102</v>
      </c>
      <c r="B8" s="17" t="n">
        <f aca="false">INDEX('Исходные данные'!$K$8:$K$29,MATCH("A06",'Исходные данные'!$J$8:$J$29,0))</f>
        <v>3.65</v>
      </c>
      <c r="C8" s="17" t="n">
        <f aca="false">INDEX('Исходные данные'!$K$8:$K$29,MATCH("A07",'Исходные данные'!$J$8:$J$29,0))</f>
        <v>3.2</v>
      </c>
      <c r="D8" s="8" t="s">
        <v>23</v>
      </c>
      <c r="E8" s="18" t="n">
        <f aca="false">B8/B$5</f>
        <v>0.0822998872604284</v>
      </c>
      <c r="F8" s="8"/>
      <c r="G8" s="19" t="str">
        <f aca="false">IF(OR(B8&lt;0,C8&lt;0),"ПРОВЕРИТЬ","ПРОЙДЕНО")</f>
        <v>ПРОЙДЕНО</v>
      </c>
    </row>
    <row r="9" customFormat="false" ht="15" hidden="false" customHeight="true" outlineLevel="0" collapsed="false">
      <c r="A9" s="8" t="s">
        <v>103</v>
      </c>
      <c r="B9" s="17" t="n">
        <f aca="false">INDEX('Исходные данные'!$K$8:$K$29,MATCH("A08",'Исходные данные'!$J$8:$J$29,0))</f>
        <v>3.4</v>
      </c>
      <c r="C9" s="17" t="n">
        <f aca="false">INDEX('Исходные данные'!$K$8:$K$29,MATCH("A09",'Исходные данные'!$J$8:$J$29,0))</f>
        <v>2.8</v>
      </c>
      <c r="D9" s="8" t="s">
        <v>23</v>
      </c>
      <c r="E9" s="18" t="n">
        <f aca="false">B9/B$5</f>
        <v>0.076662908680947</v>
      </c>
      <c r="F9" s="8"/>
      <c r="G9" s="19" t="str">
        <f aca="false">IF(OR(B9&lt;0,C9&lt;0),"ПРОВЕРИТЬ","ПРОЙДЕНО")</f>
        <v>ПРОЙДЕНО</v>
      </c>
    </row>
    <row r="10" customFormat="false" ht="15" hidden="false" customHeight="true" outlineLevel="0" collapsed="false">
      <c r="A10" s="8" t="s">
        <v>104</v>
      </c>
      <c r="B10" s="17" t="n">
        <f aca="false">INDEX('Исходные данные'!$K$8:$K$29,MATCH("A10",'Исходные данные'!$J$8:$J$29,0))</f>
        <v>1.5</v>
      </c>
      <c r="C10" s="17" t="n">
        <f aca="false">INDEX('Исходные данные'!$K$8:$K$29,MATCH("A10",'Исходные данные'!$J$8:$J$29,0))</f>
        <v>1.5</v>
      </c>
      <c r="D10" s="8" t="s">
        <v>23</v>
      </c>
      <c r="E10" s="18" t="n">
        <f aca="false">B10/B$5</f>
        <v>0.0338218714768884</v>
      </c>
      <c r="F10" s="8"/>
      <c r="G10" s="19" t="str">
        <f aca="false">IF(OR(B10&lt;0,C10&lt;0),"ПРОВЕРИТЬ","ПРОЙДЕНО")</f>
        <v>ПРОЙДЕНО</v>
      </c>
    </row>
    <row r="11" customFormat="false" ht="15" hidden="false" customHeight="true" outlineLevel="0" collapsed="false">
      <c r="A11" s="8" t="s">
        <v>105</v>
      </c>
      <c r="B11" s="17" t="n">
        <f aca="false">B6*INDEX('Исходные данные'!$K$8:$K$29,MATCH("A11",'Исходные данные'!$J$8:$J$29,0))</f>
        <v>0.4635</v>
      </c>
      <c r="C11" s="17" t="n">
        <f aca="false">C6*INDEX('Исходные данные'!$K$8:$K$29,MATCH("A11",'Исходные данные'!$J$8:$J$29,0))</f>
        <v>0.4005</v>
      </c>
      <c r="D11" s="8" t="s">
        <v>23</v>
      </c>
      <c r="E11" s="18" t="n">
        <f aca="false">B11/B$5</f>
        <v>0.0104509582863585</v>
      </c>
      <c r="F11" s="8"/>
      <c r="G11" s="19" t="str">
        <f aca="false">IF(OR(B11&lt;0,C11&lt;0),"ПРОВЕРИТЬ","ПРОЙДЕНО")</f>
        <v>ПРОЙДЕНО</v>
      </c>
    </row>
    <row r="12" customFormat="false" ht="15" hidden="false" customHeight="true" outlineLevel="0" collapsed="false">
      <c r="A12" s="8" t="s">
        <v>59</v>
      </c>
      <c r="B12" s="17" t="n">
        <f aca="false">B5*INDEX('Исходные данные'!$K$8:$K$29,MATCH("A12",'Исходные данные'!$J$8:$J$29,0))</f>
        <v>0.7983</v>
      </c>
      <c r="C12" s="17" t="n">
        <f aca="false">C5*INDEX('Исходные данные'!$K$8:$K$29,MATCH("A12",'Исходные данные'!$J$8:$J$29,0))</f>
        <v>0.7983</v>
      </c>
      <c r="D12" s="8" t="s">
        <v>23</v>
      </c>
      <c r="E12" s="18" t="n">
        <f aca="false">B12/B$5</f>
        <v>0.018</v>
      </c>
      <c r="F12" s="8"/>
      <c r="G12" s="19" t="str">
        <f aca="false">IF(OR(B12&lt;0,C12&lt;0),"ПРОВЕРИТЬ","ПРОЙДЕНО")</f>
        <v>ПРОЙДЕНО</v>
      </c>
    </row>
    <row r="13" customFormat="false" ht="15" hidden="false" customHeight="true" outlineLevel="0" collapsed="false">
      <c r="A13" s="8" t="s">
        <v>63</v>
      </c>
      <c r="B13" s="17" t="n">
        <f aca="false">B5*INDEX('Исходные данные'!$K$8:$K$29,MATCH("A13",'Исходные данные'!$J$8:$J$29,0))</f>
        <v>2.661</v>
      </c>
      <c r="C13" s="17" t="n">
        <f aca="false">C5*INDEX('Исходные данные'!$K$8:$K$29,MATCH("A13",'Исходные данные'!$J$8:$J$29,0))</f>
        <v>2.661</v>
      </c>
      <c r="D13" s="8" t="s">
        <v>23</v>
      </c>
      <c r="E13" s="18" t="n">
        <f aca="false">B13/B$5</f>
        <v>0.06</v>
      </c>
      <c r="F13" s="8"/>
      <c r="G13" s="19" t="str">
        <f aca="false">IF(OR(B13&lt;0,C13&lt;0),"ПРОВЕРИТЬ","ПРОЙДЕНО")</f>
        <v>ПРОЙДЕНО</v>
      </c>
    </row>
    <row r="14" customFormat="false" ht="15" hidden="false" customHeight="true" outlineLevel="0" collapsed="false">
      <c r="A14" s="8" t="s">
        <v>106</v>
      </c>
      <c r="B14" s="17" t="n">
        <f aca="false">SUM(B6:B13)</f>
        <v>34.4228</v>
      </c>
      <c r="C14" s="17" t="n">
        <f aca="false">SUM(C6:C13)</f>
        <v>30.2098</v>
      </c>
      <c r="D14" s="8" t="s">
        <v>23</v>
      </c>
      <c r="E14" s="18" t="n">
        <f aca="false">B14/B$5</f>
        <v>0.776162344983089</v>
      </c>
      <c r="F14" s="8"/>
      <c r="G14" s="19" t="str">
        <f aca="false">IF(OR(B14&lt;0,C14&lt;0),"ПРОВЕРИТЬ","ПРОЙДЕНО")</f>
        <v>ПРОЙДЕНО</v>
      </c>
    </row>
    <row r="15" customFormat="false" ht="15" hidden="false" customHeight="true" outlineLevel="0" collapsed="false">
      <c r="A15" s="8" t="s">
        <v>107</v>
      </c>
      <c r="B15" s="17" t="n">
        <f aca="false">B5-B14</f>
        <v>9.92720000000001</v>
      </c>
      <c r="C15" s="17" t="n">
        <f aca="false">C5-C14</f>
        <v>14.1402</v>
      </c>
      <c r="D15" s="8" t="s">
        <v>23</v>
      </c>
      <c r="E15" s="18" t="n">
        <f aca="false">B15/B$5</f>
        <v>0.223837655016911</v>
      </c>
      <c r="F15" s="8"/>
      <c r="G15" s="19" t="str">
        <f aca="false">IF(OR(B15&lt;0,C15&lt;0),"ПРОВЕРИТЬ","ПРОЙДЕНО")</f>
        <v>ПРОЙДЕНО</v>
      </c>
    </row>
    <row r="16" customFormat="false" ht="15" hidden="false" customHeight="true" outlineLevel="0" collapsed="false">
      <c r="A16" s="8" t="s">
        <v>108</v>
      </c>
      <c r="B16" s="18" t="n">
        <f aca="false">B15/B5</f>
        <v>0.223837655016911</v>
      </c>
      <c r="C16" s="18" t="n">
        <f aca="false">C15/C5</f>
        <v>0.318832018038331</v>
      </c>
      <c r="D16" s="8" t="s">
        <v>72</v>
      </c>
      <c r="E16" s="18" t="n">
        <f aca="false">B16/B$5</f>
        <v>0.0050470722664467</v>
      </c>
      <c r="F16" s="8" t="s">
        <v>109</v>
      </c>
      <c r="G16" s="19" t="str">
        <f aca="false">IF(OR(B16&lt;0,C16&lt;0),"ПРОВЕРИТЬ","ПРОЙДЕНО")</f>
        <v>ПРОЙДЕНО</v>
      </c>
    </row>
    <row r="17" customFormat="false" ht="15" hidden="false" customHeight="true" outlineLevel="0" collapsed="false">
      <c r="A17" s="8" t="s">
        <v>110</v>
      </c>
      <c r="B17" s="19" t="n">
        <f aca="false">ROUNDUP(INDEX('Исходные данные'!$K$8:$K$29,MATCH("A21",'Исходные данные'!$J$8:$J$29,0))/B15,0)</f>
        <v>1209</v>
      </c>
      <c r="C17" s="19" t="n">
        <f aca="false">ROUNDUP(INDEX('Исходные данные'!$K$8:$K$29,MATCH("A21",'Исходные данные'!$J$8:$J$29,0))/C15,0)</f>
        <v>849</v>
      </c>
      <c r="D17" s="8" t="s">
        <v>111</v>
      </c>
      <c r="E17" s="18" t="n">
        <f aca="false">B17/B$5</f>
        <v>27.260428410372</v>
      </c>
      <c r="F17" s="8"/>
      <c r="G17" s="19" t="str">
        <f aca="false">IF(OR(B17&lt;0,C17&lt;0),"ПРОВЕРИТЬ","ПРОЙДЕНО")</f>
        <v>ПРОЙДЕНО</v>
      </c>
    </row>
    <row r="18" customFormat="false" ht="15" hidden="false" customHeight="true" outlineLevel="0" collapsed="false">
      <c r="A18" s="8" t="s">
        <v>112</v>
      </c>
      <c r="B18" s="19" t="n">
        <f aca="false">B17/INDEX('Исходные данные'!$K$8:$K$29,MATCH("A20",'Исходные данные'!$J$8:$J$29,0))</f>
        <v>46.5</v>
      </c>
      <c r="C18" s="19" t="n">
        <f aca="false">C17/INDEX('Исходные данные'!$K$8:$K$29,MATCH("A20",'Исходные данные'!$J$8:$J$29,0))</f>
        <v>32.6538461538462</v>
      </c>
      <c r="D18" s="8" t="s">
        <v>113</v>
      </c>
      <c r="E18" s="18" t="n">
        <f aca="false">B18/B$5</f>
        <v>1.04847801578354</v>
      </c>
      <c r="F18" s="8"/>
      <c r="G18" s="19" t="str">
        <f aca="false">IF(OR(B18&lt;0,C18&lt;0),"ПРОВЕРИТЬ","ПРОЙДЕНО")</f>
        <v>ПРОЙДЕНО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1" min="9" style="0" width="16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0" t="s">
        <v>115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customFormat="false" ht="15" hidden="false" customHeight="false" outlineLevel="0" collapsed="false">
      <c r="A4" s="21" t="s">
        <v>12</v>
      </c>
      <c r="B4" s="21" t="s">
        <v>116</v>
      </c>
      <c r="C4" s="21" t="s">
        <v>117</v>
      </c>
      <c r="D4" s="21" t="s">
        <v>118</v>
      </c>
      <c r="E4" s="21" t="s">
        <v>119</v>
      </c>
      <c r="F4" s="21" t="s">
        <v>120</v>
      </c>
      <c r="G4" s="21" t="s">
        <v>121</v>
      </c>
      <c r="H4" s="21" t="s">
        <v>122</v>
      </c>
      <c r="I4" s="21" t="s">
        <v>123</v>
      </c>
      <c r="J4" s="21" t="s">
        <v>124</v>
      </c>
      <c r="K4" s="21" t="s">
        <v>125</v>
      </c>
      <c r="L4" s="21" t="s">
        <v>126</v>
      </c>
    </row>
    <row r="5" customFormat="false" ht="15" hidden="false" customHeight="false" outlineLevel="0" collapsed="false">
      <c r="A5" s="22" t="s">
        <v>127</v>
      </c>
      <c r="B5" s="23" t="n">
        <v>1</v>
      </c>
      <c r="C5" s="22" t="s">
        <v>128</v>
      </c>
      <c r="D5" s="22" t="s">
        <v>129</v>
      </c>
      <c r="E5" s="23" t="n">
        <v>335</v>
      </c>
      <c r="F5" s="23" t="n">
        <v>12</v>
      </c>
      <c r="G5" s="23" t="n">
        <v>11.3</v>
      </c>
      <c r="H5" s="23" t="n">
        <v>48.6</v>
      </c>
      <c r="I5" s="24" t="n">
        <v>1.82</v>
      </c>
      <c r="J5" s="24" t="n">
        <v>1.61</v>
      </c>
      <c r="K5" s="24" t="n">
        <v>1.39</v>
      </c>
      <c r="L5" s="25" t="s">
        <v>130</v>
      </c>
    </row>
    <row r="6" customFormat="false" ht="15" hidden="false" customHeight="false" outlineLevel="0" collapsed="false">
      <c r="A6" s="22" t="s">
        <v>131</v>
      </c>
      <c r="B6" s="23" t="n">
        <v>1</v>
      </c>
      <c r="C6" s="22" t="s">
        <v>132</v>
      </c>
      <c r="D6" s="22" t="s">
        <v>133</v>
      </c>
      <c r="E6" s="23" t="n">
        <v>219</v>
      </c>
      <c r="F6" s="23" t="n">
        <v>20.5</v>
      </c>
      <c r="G6" s="23" t="n">
        <v>6.4</v>
      </c>
      <c r="H6" s="23" t="n">
        <v>22.6</v>
      </c>
      <c r="I6" s="24" t="n">
        <v>1.81</v>
      </c>
      <c r="J6" s="24" t="n">
        <v>1.6</v>
      </c>
      <c r="K6" s="24" t="n">
        <v>1.38</v>
      </c>
      <c r="L6" s="25" t="s">
        <v>130</v>
      </c>
    </row>
    <row r="7" customFormat="false" ht="15" hidden="false" customHeight="false" outlineLevel="0" collapsed="false">
      <c r="A7" s="22" t="s">
        <v>134</v>
      </c>
      <c r="B7" s="23" t="n">
        <v>1</v>
      </c>
      <c r="C7" s="22" t="s">
        <v>135</v>
      </c>
      <c r="D7" s="22" t="s">
        <v>136</v>
      </c>
      <c r="E7" s="23" t="n">
        <v>472</v>
      </c>
      <c r="F7" s="23" t="n">
        <v>46.4</v>
      </c>
      <c r="G7" s="23" t="n">
        <v>10.8</v>
      </c>
      <c r="H7" s="23" t="n">
        <v>51.6</v>
      </c>
      <c r="I7" s="24" t="n">
        <v>5.14</v>
      </c>
      <c r="J7" s="24" t="n">
        <v>4.52</v>
      </c>
      <c r="K7" s="24" t="n">
        <v>3.91</v>
      </c>
      <c r="L7" s="25" t="s">
        <v>130</v>
      </c>
    </row>
    <row r="8" customFormat="false" ht="15" hidden="false" customHeight="false" outlineLevel="0" collapsed="false">
      <c r="A8" s="22" t="s">
        <v>137</v>
      </c>
      <c r="B8" s="23" t="n">
        <v>1</v>
      </c>
      <c r="C8" s="22" t="s">
        <v>138</v>
      </c>
      <c r="D8" s="22" t="s">
        <v>139</v>
      </c>
      <c r="E8" s="23" t="n">
        <v>179</v>
      </c>
      <c r="F8" s="23" t="n">
        <v>9.9</v>
      </c>
      <c r="G8" s="23" t="n">
        <v>12.5</v>
      </c>
      <c r="H8" s="23" t="n">
        <v>8.5</v>
      </c>
      <c r="I8" s="24" t="n">
        <v>2.6</v>
      </c>
      <c r="J8" s="24" t="n">
        <v>2.29</v>
      </c>
      <c r="K8" s="24" t="n">
        <v>1.98</v>
      </c>
      <c r="L8" s="25" t="s">
        <v>130</v>
      </c>
    </row>
    <row r="9" customFormat="false" ht="15" hidden="false" customHeight="false" outlineLevel="0" collapsed="false">
      <c r="A9" s="22" t="s">
        <v>140</v>
      </c>
      <c r="B9" s="23" t="n">
        <v>1</v>
      </c>
      <c r="C9" s="22" t="s">
        <v>141</v>
      </c>
      <c r="D9" s="22" t="s">
        <v>142</v>
      </c>
      <c r="E9" s="23" t="n">
        <v>377</v>
      </c>
      <c r="F9" s="23" t="n">
        <v>35.3</v>
      </c>
      <c r="G9" s="23" t="n">
        <v>7.5</v>
      </c>
      <c r="H9" s="23" t="n">
        <v>43</v>
      </c>
      <c r="I9" s="24" t="n">
        <v>5.33</v>
      </c>
      <c r="J9" s="24" t="n">
        <v>4.69</v>
      </c>
      <c r="K9" s="24" t="n">
        <v>4.05</v>
      </c>
      <c r="L9" s="25" t="s">
        <v>130</v>
      </c>
    </row>
    <row r="10" customFormat="false" ht="15" hidden="false" customHeight="false" outlineLevel="0" collapsed="false">
      <c r="A10" s="22" t="s">
        <v>143</v>
      </c>
      <c r="B10" s="23" t="n">
        <v>2</v>
      </c>
      <c r="C10" s="22" t="s">
        <v>128</v>
      </c>
      <c r="D10" s="22" t="s">
        <v>144</v>
      </c>
      <c r="E10" s="23" t="n">
        <v>352</v>
      </c>
      <c r="F10" s="23" t="n">
        <v>31.6</v>
      </c>
      <c r="G10" s="23" t="n">
        <v>14</v>
      </c>
      <c r="H10" s="23" t="n">
        <v>26.1</v>
      </c>
      <c r="I10" s="24" t="n">
        <v>2.52</v>
      </c>
      <c r="J10" s="24" t="n">
        <v>2.22</v>
      </c>
      <c r="K10" s="24" t="n">
        <v>1.92</v>
      </c>
      <c r="L10" s="25" t="s">
        <v>130</v>
      </c>
    </row>
    <row r="11" customFormat="false" ht="15" hidden="false" customHeight="false" outlineLevel="0" collapsed="false">
      <c r="A11" s="22" t="s">
        <v>145</v>
      </c>
      <c r="B11" s="23" t="n">
        <v>2</v>
      </c>
      <c r="C11" s="22" t="s">
        <v>132</v>
      </c>
      <c r="D11" s="22" t="s">
        <v>146</v>
      </c>
      <c r="E11" s="23" t="n">
        <v>224</v>
      </c>
      <c r="F11" s="23" t="n">
        <v>15.1</v>
      </c>
      <c r="G11" s="23" t="n">
        <v>8.9</v>
      </c>
      <c r="H11" s="23" t="n">
        <v>24.4</v>
      </c>
      <c r="I11" s="24" t="n">
        <v>1.76</v>
      </c>
      <c r="J11" s="24" t="n">
        <v>1.55</v>
      </c>
      <c r="K11" s="24" t="n">
        <v>1.34</v>
      </c>
      <c r="L11" s="25" t="s">
        <v>130</v>
      </c>
    </row>
    <row r="12" customFormat="false" ht="15" hidden="false" customHeight="false" outlineLevel="0" collapsed="false">
      <c r="A12" s="22" t="s">
        <v>147</v>
      </c>
      <c r="B12" s="23" t="n">
        <v>2</v>
      </c>
      <c r="C12" s="22" t="s">
        <v>135</v>
      </c>
      <c r="D12" s="22" t="s">
        <v>148</v>
      </c>
      <c r="E12" s="23" t="n">
        <v>473</v>
      </c>
      <c r="F12" s="23" t="n">
        <v>44.7</v>
      </c>
      <c r="G12" s="23" t="n">
        <v>11.4</v>
      </c>
      <c r="H12" s="23" t="n">
        <v>49.6</v>
      </c>
      <c r="I12" s="24" t="n">
        <v>4.22</v>
      </c>
      <c r="J12" s="24" t="n">
        <v>3.71</v>
      </c>
      <c r="K12" s="24" t="n">
        <v>3.21</v>
      </c>
      <c r="L12" s="25" t="s">
        <v>130</v>
      </c>
    </row>
    <row r="13" customFormat="false" ht="15" hidden="false" customHeight="false" outlineLevel="0" collapsed="false">
      <c r="A13" s="22" t="s">
        <v>149</v>
      </c>
      <c r="B13" s="23" t="n">
        <v>2</v>
      </c>
      <c r="C13" s="22" t="s">
        <v>138</v>
      </c>
      <c r="D13" s="22" t="s">
        <v>150</v>
      </c>
      <c r="E13" s="23" t="n">
        <v>154</v>
      </c>
      <c r="F13" s="23" t="n">
        <v>7.3</v>
      </c>
      <c r="G13" s="23" t="n">
        <v>2.7</v>
      </c>
      <c r="H13" s="23" t="n">
        <v>26.9</v>
      </c>
      <c r="I13" s="24" t="n">
        <v>2.62</v>
      </c>
      <c r="J13" s="24" t="n">
        <v>2.31</v>
      </c>
      <c r="K13" s="24" t="n">
        <v>1.99</v>
      </c>
      <c r="L13" s="25" t="s">
        <v>130</v>
      </c>
    </row>
    <row r="14" customFormat="false" ht="15" hidden="false" customHeight="false" outlineLevel="0" collapsed="false">
      <c r="A14" s="22" t="s">
        <v>151</v>
      </c>
      <c r="B14" s="23" t="n">
        <v>2</v>
      </c>
      <c r="C14" s="22" t="s">
        <v>141</v>
      </c>
      <c r="D14" s="22" t="s">
        <v>152</v>
      </c>
      <c r="E14" s="23" t="n">
        <v>381</v>
      </c>
      <c r="F14" s="23" t="n">
        <v>15</v>
      </c>
      <c r="G14" s="23" t="n">
        <v>6.2</v>
      </c>
      <c r="H14" s="23" t="n">
        <v>68.8</v>
      </c>
      <c r="I14" s="24" t="n">
        <v>1.9</v>
      </c>
      <c r="J14" s="24" t="n">
        <v>1.67</v>
      </c>
      <c r="K14" s="24" t="n">
        <v>1.44</v>
      </c>
      <c r="L14" s="25" t="s">
        <v>130</v>
      </c>
    </row>
    <row r="15" customFormat="false" ht="15" hidden="false" customHeight="false" outlineLevel="0" collapsed="false">
      <c r="A15" s="22" t="s">
        <v>153</v>
      </c>
      <c r="B15" s="23" t="n">
        <v>3</v>
      </c>
      <c r="C15" s="22" t="s">
        <v>128</v>
      </c>
      <c r="D15" s="22" t="s">
        <v>154</v>
      </c>
      <c r="E15" s="23" t="n">
        <v>340</v>
      </c>
      <c r="F15" s="23" t="n">
        <v>25.9</v>
      </c>
      <c r="G15" s="23" t="n">
        <v>17.7</v>
      </c>
      <c r="H15" s="23" t="n">
        <v>20.5</v>
      </c>
      <c r="I15" s="24" t="n">
        <v>3.47</v>
      </c>
      <c r="J15" s="24" t="n">
        <v>3.05</v>
      </c>
      <c r="K15" s="24" t="n">
        <v>2.63</v>
      </c>
      <c r="L15" s="25" t="s">
        <v>130</v>
      </c>
    </row>
    <row r="16" customFormat="false" ht="15" hidden="false" customHeight="false" outlineLevel="0" collapsed="false">
      <c r="A16" s="22" t="s">
        <v>155</v>
      </c>
      <c r="B16" s="23" t="n">
        <v>3</v>
      </c>
      <c r="C16" s="22" t="s">
        <v>132</v>
      </c>
      <c r="D16" s="22" t="s">
        <v>156</v>
      </c>
      <c r="E16" s="23" t="n">
        <v>219</v>
      </c>
      <c r="F16" s="23" t="n">
        <v>23.1</v>
      </c>
      <c r="G16" s="23" t="n">
        <v>7.2</v>
      </c>
      <c r="H16" s="23" t="n">
        <v>17</v>
      </c>
      <c r="I16" s="24" t="n">
        <v>2.69</v>
      </c>
      <c r="J16" s="24" t="n">
        <v>2.37</v>
      </c>
      <c r="K16" s="24" t="n">
        <v>2.05</v>
      </c>
      <c r="L16" s="25" t="s">
        <v>130</v>
      </c>
    </row>
    <row r="17" customFormat="false" ht="15" hidden="false" customHeight="false" outlineLevel="0" collapsed="false">
      <c r="A17" s="22" t="s">
        <v>157</v>
      </c>
      <c r="B17" s="23" t="n">
        <v>3</v>
      </c>
      <c r="C17" s="22" t="s">
        <v>135</v>
      </c>
      <c r="D17" s="22" t="s">
        <v>158</v>
      </c>
      <c r="E17" s="23" t="n">
        <v>482</v>
      </c>
      <c r="F17" s="23" t="n">
        <v>35.3</v>
      </c>
      <c r="G17" s="23" t="n">
        <v>16.8</v>
      </c>
      <c r="H17" s="23" t="n">
        <v>45.6</v>
      </c>
      <c r="I17" s="24" t="n">
        <v>4.43</v>
      </c>
      <c r="J17" s="24" t="n">
        <v>3.9</v>
      </c>
      <c r="K17" s="24" t="n">
        <v>3.37</v>
      </c>
      <c r="L17" s="25" t="s">
        <v>130</v>
      </c>
    </row>
    <row r="18" customFormat="false" ht="15" hidden="false" customHeight="false" outlineLevel="0" collapsed="false">
      <c r="A18" s="22" t="s">
        <v>159</v>
      </c>
      <c r="B18" s="23" t="n">
        <v>3</v>
      </c>
      <c r="C18" s="22" t="s">
        <v>138</v>
      </c>
      <c r="D18" s="22" t="s">
        <v>160</v>
      </c>
      <c r="E18" s="23" t="n">
        <v>175</v>
      </c>
      <c r="F18" s="23" t="n">
        <v>8.6</v>
      </c>
      <c r="G18" s="23" t="n">
        <v>11.3</v>
      </c>
      <c r="H18" s="23" t="n">
        <v>11.2</v>
      </c>
      <c r="I18" s="24" t="n">
        <v>2.68</v>
      </c>
      <c r="J18" s="24" t="n">
        <v>2.36</v>
      </c>
      <c r="K18" s="24" t="n">
        <v>2.04</v>
      </c>
      <c r="L18" s="25" t="s">
        <v>130</v>
      </c>
    </row>
    <row r="19" customFormat="false" ht="15" hidden="false" customHeight="false" outlineLevel="0" collapsed="false">
      <c r="A19" s="22" t="s">
        <v>161</v>
      </c>
      <c r="B19" s="23" t="n">
        <v>3</v>
      </c>
      <c r="C19" s="22" t="s">
        <v>141</v>
      </c>
      <c r="D19" s="22" t="s">
        <v>162</v>
      </c>
      <c r="E19" s="23" t="n">
        <v>380</v>
      </c>
      <c r="F19" s="23" t="n">
        <v>32.5</v>
      </c>
      <c r="G19" s="23" t="n">
        <v>9.6</v>
      </c>
      <c r="H19" s="23" t="n">
        <v>41.1</v>
      </c>
      <c r="I19" s="24" t="n">
        <v>9.15</v>
      </c>
      <c r="J19" s="24" t="n">
        <v>8.05</v>
      </c>
      <c r="K19" s="24" t="n">
        <v>6.95</v>
      </c>
      <c r="L19" s="25" t="s">
        <v>130</v>
      </c>
    </row>
    <row r="20" customFormat="false" ht="15" hidden="false" customHeight="false" outlineLevel="0" collapsed="false">
      <c r="A20" s="22" t="s">
        <v>163</v>
      </c>
      <c r="B20" s="23" t="n">
        <v>4</v>
      </c>
      <c r="C20" s="22" t="s">
        <v>128</v>
      </c>
      <c r="D20" s="22" t="s">
        <v>164</v>
      </c>
      <c r="E20" s="23" t="n">
        <v>336</v>
      </c>
      <c r="F20" s="23" t="n">
        <v>26.2</v>
      </c>
      <c r="G20" s="23" t="n">
        <v>11.8</v>
      </c>
      <c r="H20" s="23" t="n">
        <v>31.4</v>
      </c>
      <c r="I20" s="24" t="n">
        <v>3</v>
      </c>
      <c r="J20" s="24" t="n">
        <v>2.64</v>
      </c>
      <c r="K20" s="24" t="n">
        <v>2.28</v>
      </c>
      <c r="L20" s="25" t="s">
        <v>130</v>
      </c>
    </row>
    <row r="21" customFormat="false" ht="15" hidden="false" customHeight="false" outlineLevel="0" collapsed="false">
      <c r="A21" s="22" t="s">
        <v>165</v>
      </c>
      <c r="B21" s="23" t="n">
        <v>4</v>
      </c>
      <c r="C21" s="22" t="s">
        <v>132</v>
      </c>
      <c r="D21" s="22" t="s">
        <v>166</v>
      </c>
      <c r="E21" s="23" t="n">
        <v>222</v>
      </c>
      <c r="F21" s="23" t="n">
        <v>9.8</v>
      </c>
      <c r="G21" s="23" t="n">
        <v>9.6</v>
      </c>
      <c r="H21" s="23" t="n">
        <v>26.2</v>
      </c>
      <c r="I21" s="24" t="n">
        <v>1.48</v>
      </c>
      <c r="J21" s="24" t="n">
        <v>1.3</v>
      </c>
      <c r="K21" s="24" t="n">
        <v>1.12</v>
      </c>
      <c r="L21" s="25" t="s">
        <v>130</v>
      </c>
    </row>
    <row r="22" customFormat="false" ht="15" hidden="false" customHeight="false" outlineLevel="0" collapsed="false">
      <c r="A22" s="22" t="s">
        <v>167</v>
      </c>
      <c r="B22" s="23" t="n">
        <v>4</v>
      </c>
      <c r="C22" s="22" t="s">
        <v>135</v>
      </c>
      <c r="D22" s="22" t="s">
        <v>168</v>
      </c>
      <c r="E22" s="23" t="n">
        <v>477</v>
      </c>
      <c r="F22" s="23" t="n">
        <v>35.6</v>
      </c>
      <c r="G22" s="23" t="n">
        <v>19.5</v>
      </c>
      <c r="H22" s="23" t="n">
        <v>39.9</v>
      </c>
      <c r="I22" s="24" t="n">
        <v>6.08</v>
      </c>
      <c r="J22" s="24" t="n">
        <v>5.35</v>
      </c>
      <c r="K22" s="24" t="n">
        <v>4.62</v>
      </c>
      <c r="L22" s="25" t="s">
        <v>130</v>
      </c>
    </row>
    <row r="23" customFormat="false" ht="15" hidden="false" customHeight="false" outlineLevel="0" collapsed="false">
      <c r="A23" s="22" t="s">
        <v>169</v>
      </c>
      <c r="B23" s="23" t="n">
        <v>4</v>
      </c>
      <c r="C23" s="22" t="s">
        <v>138</v>
      </c>
      <c r="D23" s="22" t="s">
        <v>170</v>
      </c>
      <c r="E23" s="23" t="n">
        <v>177</v>
      </c>
      <c r="F23" s="23" t="n">
        <v>7</v>
      </c>
      <c r="G23" s="23" t="n">
        <v>6.3</v>
      </c>
      <c r="H23" s="23" t="n">
        <v>26</v>
      </c>
      <c r="I23" s="24" t="n">
        <v>2.4</v>
      </c>
      <c r="J23" s="24" t="n">
        <v>2.11</v>
      </c>
      <c r="K23" s="24" t="n">
        <v>1.82</v>
      </c>
      <c r="L23" s="25" t="s">
        <v>130</v>
      </c>
    </row>
    <row r="24" customFormat="false" ht="15" hidden="false" customHeight="false" outlineLevel="0" collapsed="false">
      <c r="A24" s="22" t="s">
        <v>171</v>
      </c>
      <c r="B24" s="23" t="n">
        <v>4</v>
      </c>
      <c r="C24" s="22" t="s">
        <v>141</v>
      </c>
      <c r="D24" s="22" t="s">
        <v>172</v>
      </c>
      <c r="E24" s="23" t="n">
        <v>383</v>
      </c>
      <c r="F24" s="23" t="n">
        <v>40.5</v>
      </c>
      <c r="G24" s="23" t="n">
        <v>10.9</v>
      </c>
      <c r="H24" s="23" t="n">
        <v>30.9</v>
      </c>
      <c r="I24" s="24" t="n">
        <v>4.77</v>
      </c>
      <c r="J24" s="24" t="n">
        <v>4.2</v>
      </c>
      <c r="K24" s="24" t="n">
        <v>3.63</v>
      </c>
      <c r="L24" s="25" t="s">
        <v>130</v>
      </c>
    </row>
    <row r="25" customFormat="false" ht="15" hidden="false" customHeight="false" outlineLevel="0" collapsed="false">
      <c r="A25" s="22" t="s">
        <v>173</v>
      </c>
      <c r="B25" s="23" t="n">
        <v>5</v>
      </c>
      <c r="C25" s="22" t="s">
        <v>128</v>
      </c>
      <c r="D25" s="22" t="s">
        <v>174</v>
      </c>
      <c r="E25" s="23" t="n">
        <v>340</v>
      </c>
      <c r="F25" s="23" t="n">
        <v>7.8</v>
      </c>
      <c r="G25" s="23" t="n">
        <v>6.4</v>
      </c>
      <c r="H25" s="23" t="n">
        <v>64.9</v>
      </c>
      <c r="I25" s="24" t="n">
        <v>1.29</v>
      </c>
      <c r="J25" s="24" t="n">
        <v>1.13</v>
      </c>
      <c r="K25" s="24" t="n">
        <v>0.98</v>
      </c>
      <c r="L25" s="25" t="s">
        <v>130</v>
      </c>
    </row>
    <row r="26" customFormat="false" ht="15" hidden="false" customHeight="false" outlineLevel="0" collapsed="false">
      <c r="A26" s="22" t="s">
        <v>175</v>
      </c>
      <c r="B26" s="23" t="n">
        <v>5</v>
      </c>
      <c r="C26" s="22" t="s">
        <v>132</v>
      </c>
      <c r="D26" s="22" t="s">
        <v>176</v>
      </c>
      <c r="E26" s="23" t="n">
        <v>220</v>
      </c>
      <c r="F26" s="23" t="n">
        <v>20.2</v>
      </c>
      <c r="G26" s="23" t="n">
        <v>6.4</v>
      </c>
      <c r="H26" s="23" t="n">
        <v>22.8</v>
      </c>
      <c r="I26" s="24" t="n">
        <v>1.64</v>
      </c>
      <c r="J26" s="24" t="n">
        <v>1.44</v>
      </c>
      <c r="K26" s="24" t="n">
        <v>1.25</v>
      </c>
      <c r="L26" s="25" t="s">
        <v>130</v>
      </c>
    </row>
    <row r="27" customFormat="false" ht="15" hidden="false" customHeight="false" outlineLevel="0" collapsed="false">
      <c r="A27" s="22" t="s">
        <v>177</v>
      </c>
      <c r="B27" s="23" t="n">
        <v>5</v>
      </c>
      <c r="C27" s="22" t="s">
        <v>135</v>
      </c>
      <c r="D27" s="22" t="s">
        <v>178</v>
      </c>
      <c r="E27" s="23" t="n">
        <v>477</v>
      </c>
      <c r="F27" s="23" t="n">
        <v>48.2</v>
      </c>
      <c r="G27" s="23" t="n">
        <v>8.9</v>
      </c>
      <c r="H27" s="23" t="n">
        <v>50.8</v>
      </c>
      <c r="I27" s="24" t="n">
        <v>6.31</v>
      </c>
      <c r="J27" s="24" t="n">
        <v>5.55</v>
      </c>
      <c r="K27" s="24" t="n">
        <v>4.79</v>
      </c>
      <c r="L27" s="25" t="s">
        <v>130</v>
      </c>
    </row>
    <row r="28" customFormat="false" ht="15" hidden="false" customHeight="false" outlineLevel="0" collapsed="false">
      <c r="A28" s="22" t="s">
        <v>179</v>
      </c>
      <c r="B28" s="23" t="n">
        <v>5</v>
      </c>
      <c r="C28" s="22" t="s">
        <v>138</v>
      </c>
      <c r="D28" s="22" t="s">
        <v>180</v>
      </c>
      <c r="E28" s="23" t="n">
        <v>200</v>
      </c>
      <c r="F28" s="23" t="n">
        <v>10.7</v>
      </c>
      <c r="G28" s="23" t="n">
        <v>13.4</v>
      </c>
      <c r="H28" s="23" t="n">
        <v>11.5</v>
      </c>
      <c r="I28" s="24" t="n">
        <v>1.65</v>
      </c>
      <c r="J28" s="24" t="n">
        <v>1.45</v>
      </c>
      <c r="K28" s="24" t="n">
        <v>1.26</v>
      </c>
      <c r="L28" s="25" t="s">
        <v>130</v>
      </c>
    </row>
    <row r="29" customFormat="false" ht="15" hidden="false" customHeight="false" outlineLevel="0" collapsed="false">
      <c r="A29" s="22" t="s">
        <v>181</v>
      </c>
      <c r="B29" s="23" t="n">
        <v>5</v>
      </c>
      <c r="C29" s="22" t="s">
        <v>141</v>
      </c>
      <c r="D29" s="22" t="s">
        <v>182</v>
      </c>
      <c r="E29" s="23" t="n">
        <v>370</v>
      </c>
      <c r="F29" s="23" t="n">
        <v>37.1</v>
      </c>
      <c r="G29" s="23" t="n">
        <v>8.7</v>
      </c>
      <c r="H29" s="23" t="n">
        <v>39.1</v>
      </c>
      <c r="I29" s="24" t="n">
        <v>5.44</v>
      </c>
      <c r="J29" s="24" t="n">
        <v>4.78</v>
      </c>
      <c r="K29" s="24" t="n">
        <v>4.13</v>
      </c>
      <c r="L29" s="25" t="s">
        <v>130</v>
      </c>
    </row>
    <row r="30" customFormat="false" ht="15" hidden="false" customHeight="false" outlineLevel="0" collapsed="false">
      <c r="A30" s="22" t="s">
        <v>183</v>
      </c>
      <c r="B30" s="23" t="n">
        <v>6</v>
      </c>
      <c r="C30" s="22" t="s">
        <v>128</v>
      </c>
      <c r="D30" s="22" t="s">
        <v>184</v>
      </c>
      <c r="E30" s="23" t="n">
        <v>336</v>
      </c>
      <c r="F30" s="23" t="n">
        <v>24.8</v>
      </c>
      <c r="G30" s="23" t="n">
        <v>16.3</v>
      </c>
      <c r="H30" s="23" t="n">
        <v>23.1</v>
      </c>
      <c r="I30" s="24" t="n">
        <v>2.47</v>
      </c>
      <c r="J30" s="24" t="n">
        <v>2.18</v>
      </c>
      <c r="K30" s="24" t="n">
        <v>1.88</v>
      </c>
      <c r="L30" s="25" t="s">
        <v>130</v>
      </c>
    </row>
    <row r="31" customFormat="false" ht="15" hidden="false" customHeight="false" outlineLevel="0" collapsed="false">
      <c r="A31" s="22" t="s">
        <v>185</v>
      </c>
      <c r="B31" s="23" t="n">
        <v>6</v>
      </c>
      <c r="C31" s="22" t="s">
        <v>132</v>
      </c>
      <c r="D31" s="22" t="s">
        <v>186</v>
      </c>
      <c r="E31" s="23" t="n">
        <v>245</v>
      </c>
      <c r="F31" s="23" t="n">
        <v>9.8</v>
      </c>
      <c r="G31" s="23" t="n">
        <v>7.7</v>
      </c>
      <c r="H31" s="23" t="n">
        <v>32.9</v>
      </c>
      <c r="I31" s="24" t="n">
        <v>2.08</v>
      </c>
      <c r="J31" s="24" t="n">
        <v>1.83</v>
      </c>
      <c r="K31" s="24" t="n">
        <v>1.58</v>
      </c>
      <c r="L31" s="25" t="s">
        <v>130</v>
      </c>
    </row>
    <row r="32" customFormat="false" ht="15" hidden="false" customHeight="false" outlineLevel="0" collapsed="false">
      <c r="A32" s="22" t="s">
        <v>187</v>
      </c>
      <c r="B32" s="23" t="n">
        <v>6</v>
      </c>
      <c r="C32" s="22" t="s">
        <v>135</v>
      </c>
      <c r="D32" s="22" t="s">
        <v>188</v>
      </c>
      <c r="E32" s="23" t="n">
        <v>478</v>
      </c>
      <c r="F32" s="23" t="n">
        <v>43.6</v>
      </c>
      <c r="G32" s="23" t="n">
        <v>10.9</v>
      </c>
      <c r="H32" s="23" t="n">
        <v>51</v>
      </c>
      <c r="I32" s="24" t="n">
        <v>4.5</v>
      </c>
      <c r="J32" s="24" t="n">
        <v>3.96</v>
      </c>
      <c r="K32" s="24" t="n">
        <v>3.42</v>
      </c>
      <c r="L32" s="25" t="s">
        <v>130</v>
      </c>
    </row>
    <row r="33" customFormat="false" ht="15" hidden="false" customHeight="false" outlineLevel="0" collapsed="false">
      <c r="A33" s="22" t="s">
        <v>189</v>
      </c>
      <c r="B33" s="23" t="n">
        <v>6</v>
      </c>
      <c r="C33" s="22" t="s">
        <v>138</v>
      </c>
      <c r="D33" s="22" t="s">
        <v>190</v>
      </c>
      <c r="E33" s="23" t="n">
        <v>179</v>
      </c>
      <c r="F33" s="23" t="n">
        <v>2.9</v>
      </c>
      <c r="G33" s="23" t="n">
        <v>6.2</v>
      </c>
      <c r="H33" s="23" t="n">
        <v>32.1</v>
      </c>
      <c r="I33" s="24" t="n">
        <v>1.03</v>
      </c>
      <c r="J33" s="24" t="n">
        <v>0.91</v>
      </c>
      <c r="K33" s="24" t="n">
        <v>0.78</v>
      </c>
      <c r="L33" s="25" t="s">
        <v>130</v>
      </c>
    </row>
    <row r="34" customFormat="false" ht="15" hidden="false" customHeight="false" outlineLevel="0" collapsed="false">
      <c r="A34" s="22" t="s">
        <v>191</v>
      </c>
      <c r="B34" s="23" t="n">
        <v>6</v>
      </c>
      <c r="C34" s="22" t="s">
        <v>141</v>
      </c>
      <c r="D34" s="22" t="s">
        <v>192</v>
      </c>
      <c r="E34" s="23" t="n">
        <v>404</v>
      </c>
      <c r="F34" s="23" t="n">
        <v>27.1</v>
      </c>
      <c r="G34" s="23" t="n">
        <v>11.5</v>
      </c>
      <c r="H34" s="23" t="n">
        <v>49</v>
      </c>
      <c r="I34" s="24" t="n">
        <v>3.78</v>
      </c>
      <c r="J34" s="24" t="n">
        <v>3.32</v>
      </c>
      <c r="K34" s="24" t="n">
        <v>2.87</v>
      </c>
      <c r="L34" s="25" t="s">
        <v>130</v>
      </c>
    </row>
    <row r="35" customFormat="false" ht="15" hidden="false" customHeight="false" outlineLevel="0" collapsed="false">
      <c r="A35" s="22" t="s">
        <v>193</v>
      </c>
      <c r="B35" s="23" t="n">
        <v>7</v>
      </c>
      <c r="C35" s="22" t="s">
        <v>128</v>
      </c>
      <c r="D35" s="22" t="s">
        <v>194</v>
      </c>
      <c r="E35" s="23" t="n">
        <v>352</v>
      </c>
      <c r="F35" s="23" t="n">
        <v>31.6</v>
      </c>
      <c r="G35" s="23" t="n">
        <v>14</v>
      </c>
      <c r="H35" s="23" t="n">
        <v>26.1</v>
      </c>
      <c r="I35" s="24" t="n">
        <v>2.52</v>
      </c>
      <c r="J35" s="24" t="n">
        <v>2.22</v>
      </c>
      <c r="K35" s="24" t="n">
        <v>1.92</v>
      </c>
      <c r="L35" s="25" t="s">
        <v>130</v>
      </c>
    </row>
    <row r="36" customFormat="false" ht="15" hidden="false" customHeight="false" outlineLevel="0" collapsed="false">
      <c r="A36" s="22" t="s">
        <v>195</v>
      </c>
      <c r="B36" s="23" t="n">
        <v>7</v>
      </c>
      <c r="C36" s="22" t="s">
        <v>132</v>
      </c>
      <c r="D36" s="22" t="s">
        <v>196</v>
      </c>
      <c r="E36" s="23" t="n">
        <v>217</v>
      </c>
      <c r="F36" s="23" t="n">
        <v>21.6</v>
      </c>
      <c r="G36" s="23" t="n">
        <v>6.6</v>
      </c>
      <c r="H36" s="23" t="n">
        <v>20.3</v>
      </c>
      <c r="I36" s="24" t="n">
        <v>1.98</v>
      </c>
      <c r="J36" s="24" t="n">
        <v>1.74</v>
      </c>
      <c r="K36" s="24" t="n">
        <v>1.5</v>
      </c>
      <c r="L36" s="25" t="s">
        <v>130</v>
      </c>
    </row>
    <row r="37" customFormat="false" ht="15" hidden="false" customHeight="false" outlineLevel="0" collapsed="false">
      <c r="A37" s="22" t="s">
        <v>197</v>
      </c>
      <c r="B37" s="23" t="n">
        <v>7</v>
      </c>
      <c r="C37" s="22" t="s">
        <v>135</v>
      </c>
      <c r="D37" s="22" t="s">
        <v>198</v>
      </c>
      <c r="E37" s="23" t="n">
        <v>475</v>
      </c>
      <c r="F37" s="23" t="n">
        <v>34.3</v>
      </c>
      <c r="G37" s="23" t="n">
        <v>17.2</v>
      </c>
      <c r="H37" s="23" t="n">
        <v>48.8</v>
      </c>
      <c r="I37" s="24" t="n">
        <v>4.89</v>
      </c>
      <c r="J37" s="24" t="n">
        <v>4.3</v>
      </c>
      <c r="K37" s="24" t="n">
        <v>3.71</v>
      </c>
      <c r="L37" s="25" t="s">
        <v>130</v>
      </c>
    </row>
    <row r="38" customFormat="false" ht="15" hidden="false" customHeight="false" outlineLevel="0" collapsed="false">
      <c r="A38" s="22" t="s">
        <v>199</v>
      </c>
      <c r="B38" s="23" t="n">
        <v>7</v>
      </c>
      <c r="C38" s="22" t="s">
        <v>138</v>
      </c>
      <c r="D38" s="22" t="s">
        <v>200</v>
      </c>
      <c r="E38" s="23" t="n">
        <v>183</v>
      </c>
      <c r="F38" s="23" t="n">
        <v>6.3</v>
      </c>
      <c r="G38" s="23" t="n">
        <v>8.5</v>
      </c>
      <c r="H38" s="23" t="n">
        <v>22.7</v>
      </c>
      <c r="I38" s="24" t="n">
        <v>1.15</v>
      </c>
      <c r="J38" s="24" t="n">
        <v>1.01</v>
      </c>
      <c r="K38" s="24" t="n">
        <v>0.87</v>
      </c>
      <c r="L38" s="25" t="s">
        <v>130</v>
      </c>
    </row>
    <row r="39" customFormat="false" ht="15" hidden="false" customHeight="false" outlineLevel="0" collapsed="false">
      <c r="A39" s="22" t="s">
        <v>201</v>
      </c>
      <c r="B39" s="23" t="n">
        <v>7</v>
      </c>
      <c r="C39" s="22" t="s">
        <v>141</v>
      </c>
      <c r="D39" s="22" t="s">
        <v>202</v>
      </c>
      <c r="E39" s="23" t="n">
        <v>381</v>
      </c>
      <c r="F39" s="23" t="n">
        <v>39.4</v>
      </c>
      <c r="G39" s="23" t="n">
        <v>9.4</v>
      </c>
      <c r="H39" s="23" t="n">
        <v>36.2</v>
      </c>
      <c r="I39" s="24" t="n">
        <v>11.37</v>
      </c>
      <c r="J39" s="24" t="n">
        <v>10.01</v>
      </c>
      <c r="K39" s="24" t="n">
        <v>8.64</v>
      </c>
      <c r="L39" s="25" t="s">
        <v>130</v>
      </c>
    </row>
    <row r="40" customFormat="false" ht="15" hidden="false" customHeight="false" outlineLevel="0" collapsed="false">
      <c r="A40" s="22" t="s">
        <v>203</v>
      </c>
      <c r="B40" s="23" t="n">
        <v>8</v>
      </c>
      <c r="C40" s="22" t="s">
        <v>128</v>
      </c>
      <c r="D40" s="22" t="s">
        <v>204</v>
      </c>
      <c r="E40" s="23" t="n">
        <v>330</v>
      </c>
      <c r="F40" s="23" t="n">
        <v>11.3</v>
      </c>
      <c r="G40" s="23" t="n">
        <v>10.6</v>
      </c>
      <c r="H40" s="23" t="n">
        <v>50.5</v>
      </c>
      <c r="I40" s="24" t="n">
        <v>1.17</v>
      </c>
      <c r="J40" s="24" t="n">
        <v>1.03</v>
      </c>
      <c r="K40" s="24" t="n">
        <v>0.89</v>
      </c>
      <c r="L40" s="25" t="s">
        <v>130</v>
      </c>
    </row>
    <row r="41" customFormat="false" ht="15" hidden="false" customHeight="false" outlineLevel="0" collapsed="false">
      <c r="A41" s="22" t="s">
        <v>205</v>
      </c>
      <c r="B41" s="23" t="n">
        <v>8</v>
      </c>
      <c r="C41" s="22" t="s">
        <v>132</v>
      </c>
      <c r="D41" s="22" t="s">
        <v>206</v>
      </c>
      <c r="E41" s="23" t="n">
        <v>222</v>
      </c>
      <c r="F41" s="23" t="n">
        <v>10</v>
      </c>
      <c r="G41" s="23" t="n">
        <v>6.2</v>
      </c>
      <c r="H41" s="23" t="n">
        <v>31.2</v>
      </c>
      <c r="I41" s="24" t="n">
        <v>2.47</v>
      </c>
      <c r="J41" s="24" t="n">
        <v>2.17</v>
      </c>
      <c r="K41" s="24" t="n">
        <v>1.88</v>
      </c>
      <c r="L41" s="25" t="s">
        <v>130</v>
      </c>
    </row>
    <row r="42" customFormat="false" ht="15" hidden="false" customHeight="false" outlineLevel="0" collapsed="false">
      <c r="A42" s="22" t="s">
        <v>207</v>
      </c>
      <c r="B42" s="23" t="n">
        <v>8</v>
      </c>
      <c r="C42" s="22" t="s">
        <v>135</v>
      </c>
      <c r="D42" s="22" t="s">
        <v>208</v>
      </c>
      <c r="E42" s="23" t="n">
        <v>486</v>
      </c>
      <c r="F42" s="23" t="n">
        <v>43</v>
      </c>
      <c r="G42" s="23" t="n">
        <v>9.2</v>
      </c>
      <c r="H42" s="23" t="n">
        <v>56.7</v>
      </c>
      <c r="I42" s="24" t="n">
        <v>5.37</v>
      </c>
      <c r="J42" s="24" t="n">
        <v>4.73</v>
      </c>
      <c r="K42" s="24" t="n">
        <v>4.08</v>
      </c>
      <c r="L42" s="25" t="s">
        <v>130</v>
      </c>
    </row>
    <row r="43" customFormat="false" ht="15" hidden="false" customHeight="false" outlineLevel="0" collapsed="false">
      <c r="A43" s="22" t="s">
        <v>209</v>
      </c>
      <c r="B43" s="23" t="n">
        <v>8</v>
      </c>
      <c r="C43" s="22" t="s">
        <v>138</v>
      </c>
      <c r="D43" s="22" t="s">
        <v>210</v>
      </c>
      <c r="E43" s="23" t="n">
        <v>154</v>
      </c>
      <c r="F43" s="23" t="n">
        <v>7.3</v>
      </c>
      <c r="G43" s="23" t="n">
        <v>2.7</v>
      </c>
      <c r="H43" s="23" t="n">
        <v>26.9</v>
      </c>
      <c r="I43" s="24" t="n">
        <v>2.62</v>
      </c>
      <c r="J43" s="24" t="n">
        <v>2.31</v>
      </c>
      <c r="K43" s="24" t="n">
        <v>1.99</v>
      </c>
      <c r="L43" s="25" t="s">
        <v>130</v>
      </c>
    </row>
    <row r="44" customFormat="false" ht="15" hidden="false" customHeight="false" outlineLevel="0" collapsed="false">
      <c r="A44" s="22" t="s">
        <v>211</v>
      </c>
      <c r="B44" s="23" t="n">
        <v>8</v>
      </c>
      <c r="C44" s="22" t="s">
        <v>141</v>
      </c>
      <c r="D44" s="22" t="s">
        <v>212</v>
      </c>
      <c r="E44" s="23" t="n">
        <v>381</v>
      </c>
      <c r="F44" s="23" t="n">
        <v>33.7</v>
      </c>
      <c r="G44" s="23" t="n">
        <v>10.8</v>
      </c>
      <c r="H44" s="23" t="n">
        <v>36.3</v>
      </c>
      <c r="I44" s="24" t="n">
        <v>3.66</v>
      </c>
      <c r="J44" s="24" t="n">
        <v>3.22</v>
      </c>
      <c r="K44" s="24" t="n">
        <v>2.78</v>
      </c>
      <c r="L44" s="25" t="s">
        <v>130</v>
      </c>
    </row>
    <row r="45" customFormat="false" ht="15" hidden="false" customHeight="false" outlineLevel="0" collapsed="false">
      <c r="A45" s="22" t="s">
        <v>213</v>
      </c>
      <c r="B45" s="23" t="n">
        <v>9</v>
      </c>
      <c r="C45" s="22" t="s">
        <v>128</v>
      </c>
      <c r="D45" s="22" t="s">
        <v>214</v>
      </c>
      <c r="E45" s="23" t="n">
        <v>331</v>
      </c>
      <c r="F45" s="23" t="n">
        <v>32.3</v>
      </c>
      <c r="G45" s="23" t="n">
        <v>11.1</v>
      </c>
      <c r="H45" s="23" t="n">
        <v>26.7</v>
      </c>
      <c r="I45" s="24" t="n">
        <v>2.6</v>
      </c>
      <c r="J45" s="24" t="n">
        <v>2.29</v>
      </c>
      <c r="K45" s="24" t="n">
        <v>1.98</v>
      </c>
      <c r="L45" s="25" t="s">
        <v>130</v>
      </c>
    </row>
    <row r="46" customFormat="false" ht="15" hidden="false" customHeight="false" outlineLevel="0" collapsed="false">
      <c r="A46" s="22" t="s">
        <v>215</v>
      </c>
      <c r="B46" s="23" t="n">
        <v>9</v>
      </c>
      <c r="C46" s="22" t="s">
        <v>132</v>
      </c>
      <c r="D46" s="22" t="s">
        <v>216</v>
      </c>
      <c r="E46" s="23" t="n">
        <v>221</v>
      </c>
      <c r="F46" s="23" t="n">
        <v>3.8</v>
      </c>
      <c r="G46" s="23" t="n">
        <v>1.4</v>
      </c>
      <c r="H46" s="23" t="n">
        <v>53.7</v>
      </c>
      <c r="I46" s="24" t="n">
        <v>1.89</v>
      </c>
      <c r="J46" s="24" t="n">
        <v>1.66</v>
      </c>
      <c r="K46" s="24" t="n">
        <v>1.44</v>
      </c>
      <c r="L46" s="25" t="s">
        <v>130</v>
      </c>
    </row>
    <row r="47" customFormat="false" ht="15" hidden="false" customHeight="false" outlineLevel="0" collapsed="false">
      <c r="A47" s="22" t="s">
        <v>217</v>
      </c>
      <c r="B47" s="23" t="n">
        <v>9</v>
      </c>
      <c r="C47" s="22" t="s">
        <v>135</v>
      </c>
      <c r="D47" s="22" t="s">
        <v>218</v>
      </c>
      <c r="E47" s="23" t="n">
        <v>475</v>
      </c>
      <c r="F47" s="23" t="n">
        <v>38.1</v>
      </c>
      <c r="G47" s="23" t="n">
        <v>18.1</v>
      </c>
      <c r="H47" s="23" t="n">
        <v>42.3</v>
      </c>
      <c r="I47" s="24" t="n">
        <v>4.27</v>
      </c>
      <c r="J47" s="24" t="n">
        <v>3.76</v>
      </c>
      <c r="K47" s="24" t="n">
        <v>3.25</v>
      </c>
      <c r="L47" s="25" t="s">
        <v>130</v>
      </c>
    </row>
    <row r="48" customFormat="false" ht="15" hidden="false" customHeight="false" outlineLevel="0" collapsed="false">
      <c r="A48" s="22" t="s">
        <v>219</v>
      </c>
      <c r="B48" s="23" t="n">
        <v>9</v>
      </c>
      <c r="C48" s="22" t="s">
        <v>138</v>
      </c>
      <c r="D48" s="22" t="s">
        <v>220</v>
      </c>
      <c r="E48" s="23" t="n">
        <v>177</v>
      </c>
      <c r="F48" s="23" t="n">
        <v>7</v>
      </c>
      <c r="G48" s="23" t="n">
        <v>6.3</v>
      </c>
      <c r="H48" s="23" t="n">
        <v>26</v>
      </c>
      <c r="I48" s="24" t="n">
        <v>2.4</v>
      </c>
      <c r="J48" s="24" t="n">
        <v>2.11</v>
      </c>
      <c r="K48" s="24" t="n">
        <v>1.82</v>
      </c>
      <c r="L48" s="25" t="s">
        <v>130</v>
      </c>
    </row>
    <row r="49" customFormat="false" ht="15" hidden="false" customHeight="false" outlineLevel="0" collapsed="false">
      <c r="A49" s="22" t="s">
        <v>221</v>
      </c>
      <c r="B49" s="23" t="n">
        <v>9</v>
      </c>
      <c r="C49" s="22" t="s">
        <v>141</v>
      </c>
      <c r="D49" s="22" t="s">
        <v>222</v>
      </c>
      <c r="E49" s="23" t="n">
        <v>369</v>
      </c>
      <c r="F49" s="23" t="n">
        <v>36.6</v>
      </c>
      <c r="G49" s="23" t="n">
        <v>7.8</v>
      </c>
      <c r="H49" s="23" t="n">
        <v>41.1</v>
      </c>
      <c r="I49" s="24" t="n">
        <v>5.57</v>
      </c>
      <c r="J49" s="24" t="n">
        <v>4.91</v>
      </c>
      <c r="K49" s="24" t="n">
        <v>4.24</v>
      </c>
      <c r="L49" s="25" t="s">
        <v>130</v>
      </c>
    </row>
    <row r="50" customFormat="false" ht="15" hidden="false" customHeight="false" outlineLevel="0" collapsed="false">
      <c r="A50" s="22" t="s">
        <v>223</v>
      </c>
      <c r="B50" s="23" t="n">
        <v>10</v>
      </c>
      <c r="C50" s="22" t="s">
        <v>128</v>
      </c>
      <c r="D50" s="22" t="s">
        <v>224</v>
      </c>
      <c r="E50" s="23" t="n">
        <v>339</v>
      </c>
      <c r="F50" s="23" t="n">
        <v>24.9</v>
      </c>
      <c r="G50" s="23" t="n">
        <v>17.6</v>
      </c>
      <c r="H50" s="23" t="n">
        <v>20.9</v>
      </c>
      <c r="I50" s="24" t="n">
        <v>2.63</v>
      </c>
      <c r="J50" s="24" t="n">
        <v>2.31</v>
      </c>
      <c r="K50" s="24" t="n">
        <v>2</v>
      </c>
      <c r="L50" s="25" t="s">
        <v>130</v>
      </c>
    </row>
    <row r="51" customFormat="false" ht="15" hidden="false" customHeight="false" outlineLevel="0" collapsed="false">
      <c r="A51" s="22" t="s">
        <v>225</v>
      </c>
      <c r="B51" s="23" t="n">
        <v>10</v>
      </c>
      <c r="C51" s="22" t="s">
        <v>132</v>
      </c>
      <c r="D51" s="22" t="s">
        <v>226</v>
      </c>
      <c r="E51" s="23" t="n">
        <v>226</v>
      </c>
      <c r="F51" s="23" t="n">
        <v>22.2</v>
      </c>
      <c r="G51" s="23" t="n">
        <v>6.9</v>
      </c>
      <c r="H51" s="23" t="n">
        <v>20.4</v>
      </c>
      <c r="I51" s="24" t="n">
        <v>2.68</v>
      </c>
      <c r="J51" s="24" t="n">
        <v>2.36</v>
      </c>
      <c r="K51" s="24" t="n">
        <v>2.04</v>
      </c>
      <c r="L51" s="25" t="s">
        <v>130</v>
      </c>
    </row>
    <row r="52" customFormat="false" ht="15" hidden="false" customHeight="false" outlineLevel="0" collapsed="false">
      <c r="A52" s="22" t="s">
        <v>227</v>
      </c>
      <c r="B52" s="23" t="n">
        <v>10</v>
      </c>
      <c r="C52" s="22" t="s">
        <v>135</v>
      </c>
      <c r="D52" s="22" t="s">
        <v>228</v>
      </c>
      <c r="E52" s="23" t="n">
        <v>486</v>
      </c>
      <c r="F52" s="23" t="n">
        <v>47.4</v>
      </c>
      <c r="G52" s="23" t="n">
        <v>13.1</v>
      </c>
      <c r="H52" s="23" t="n">
        <v>43.4</v>
      </c>
      <c r="I52" s="24" t="n">
        <v>6.04</v>
      </c>
      <c r="J52" s="24" t="n">
        <v>5.31</v>
      </c>
      <c r="K52" s="24" t="n">
        <v>4.59</v>
      </c>
      <c r="L52" s="25" t="s">
        <v>130</v>
      </c>
    </row>
    <row r="53" customFormat="false" ht="15" hidden="false" customHeight="false" outlineLevel="0" collapsed="false">
      <c r="A53" s="22" t="s">
        <v>229</v>
      </c>
      <c r="B53" s="23" t="n">
        <v>10</v>
      </c>
      <c r="C53" s="22" t="s">
        <v>138</v>
      </c>
      <c r="D53" s="22" t="s">
        <v>139</v>
      </c>
      <c r="E53" s="23" t="n">
        <v>179</v>
      </c>
      <c r="F53" s="23" t="n">
        <v>9.9</v>
      </c>
      <c r="G53" s="23" t="n">
        <v>12.5</v>
      </c>
      <c r="H53" s="23" t="n">
        <v>8.5</v>
      </c>
      <c r="I53" s="24" t="n">
        <v>2.6</v>
      </c>
      <c r="J53" s="24" t="n">
        <v>2.29</v>
      </c>
      <c r="K53" s="24" t="n">
        <v>1.98</v>
      </c>
      <c r="L53" s="25" t="s">
        <v>130</v>
      </c>
    </row>
    <row r="54" customFormat="false" ht="15" hidden="false" customHeight="false" outlineLevel="0" collapsed="false">
      <c r="A54" s="22" t="s">
        <v>230</v>
      </c>
      <c r="B54" s="23" t="n">
        <v>10</v>
      </c>
      <c r="C54" s="22" t="s">
        <v>141</v>
      </c>
      <c r="D54" s="22" t="s">
        <v>231</v>
      </c>
      <c r="E54" s="23" t="n">
        <v>378</v>
      </c>
      <c r="F54" s="23" t="n">
        <v>35.4</v>
      </c>
      <c r="G54" s="23" t="n">
        <v>8.8</v>
      </c>
      <c r="H54" s="23" t="n">
        <v>38.9</v>
      </c>
      <c r="I54" s="24" t="n">
        <v>4.69</v>
      </c>
      <c r="J54" s="24" t="n">
        <v>4.13</v>
      </c>
      <c r="K54" s="24" t="n">
        <v>3.57</v>
      </c>
      <c r="L54" s="25" t="s">
        <v>130</v>
      </c>
    </row>
    <row r="55" customFormat="false" ht="15" hidden="false" customHeight="false" outlineLevel="0" collapsed="false">
      <c r="A55" s="22" t="s">
        <v>232</v>
      </c>
      <c r="B55" s="23" t="n">
        <v>11</v>
      </c>
      <c r="C55" s="22" t="s">
        <v>128</v>
      </c>
      <c r="D55" s="22" t="s">
        <v>233</v>
      </c>
      <c r="E55" s="23" t="n">
        <v>340</v>
      </c>
      <c r="F55" s="23" t="n">
        <v>12.8</v>
      </c>
      <c r="G55" s="23" t="n">
        <v>10.6</v>
      </c>
      <c r="H55" s="23" t="n">
        <v>46.6</v>
      </c>
      <c r="I55" s="24" t="n">
        <v>2.92</v>
      </c>
      <c r="J55" s="24" t="n">
        <v>2.57</v>
      </c>
      <c r="K55" s="24" t="n">
        <v>2.22</v>
      </c>
      <c r="L55" s="25" t="s">
        <v>130</v>
      </c>
    </row>
    <row r="56" customFormat="false" ht="15" hidden="false" customHeight="false" outlineLevel="0" collapsed="false">
      <c r="A56" s="22" t="s">
        <v>234</v>
      </c>
      <c r="B56" s="23" t="n">
        <v>11</v>
      </c>
      <c r="C56" s="22" t="s">
        <v>132</v>
      </c>
      <c r="D56" s="22" t="s">
        <v>235</v>
      </c>
      <c r="E56" s="23" t="n">
        <v>221</v>
      </c>
      <c r="F56" s="23" t="n">
        <v>22.4</v>
      </c>
      <c r="G56" s="23" t="n">
        <v>7</v>
      </c>
      <c r="H56" s="23" t="n">
        <v>19.8</v>
      </c>
      <c r="I56" s="24" t="n">
        <v>1.86</v>
      </c>
      <c r="J56" s="24" t="n">
        <v>1.64</v>
      </c>
      <c r="K56" s="24" t="n">
        <v>1.42</v>
      </c>
      <c r="L56" s="25" t="s">
        <v>130</v>
      </c>
    </row>
    <row r="57" customFormat="false" ht="15" hidden="false" customHeight="false" outlineLevel="0" collapsed="false">
      <c r="A57" s="22" t="s">
        <v>236</v>
      </c>
      <c r="B57" s="23" t="n">
        <v>11</v>
      </c>
      <c r="C57" s="22" t="s">
        <v>135</v>
      </c>
      <c r="D57" s="22" t="s">
        <v>237</v>
      </c>
      <c r="E57" s="23" t="n">
        <v>488</v>
      </c>
      <c r="F57" s="23" t="n">
        <v>32.8</v>
      </c>
      <c r="G57" s="23" t="n">
        <v>17.1</v>
      </c>
      <c r="H57" s="23" t="n">
        <v>50.1</v>
      </c>
      <c r="I57" s="24" t="n">
        <v>5.17</v>
      </c>
      <c r="J57" s="24" t="n">
        <v>4.55</v>
      </c>
      <c r="K57" s="24" t="n">
        <v>3.93</v>
      </c>
      <c r="L57" s="25" t="s">
        <v>130</v>
      </c>
    </row>
    <row r="58" customFormat="false" ht="15" hidden="false" customHeight="false" outlineLevel="0" collapsed="false">
      <c r="A58" s="22" t="s">
        <v>238</v>
      </c>
      <c r="B58" s="23" t="n">
        <v>11</v>
      </c>
      <c r="C58" s="22" t="s">
        <v>138</v>
      </c>
      <c r="D58" s="22" t="s">
        <v>239</v>
      </c>
      <c r="E58" s="23" t="n">
        <v>154</v>
      </c>
      <c r="F58" s="23" t="n">
        <v>7.3</v>
      </c>
      <c r="G58" s="23" t="n">
        <v>2.7</v>
      </c>
      <c r="H58" s="23" t="n">
        <v>26.9</v>
      </c>
      <c r="I58" s="24" t="n">
        <v>2.62</v>
      </c>
      <c r="J58" s="24" t="n">
        <v>2.31</v>
      </c>
      <c r="K58" s="24" t="n">
        <v>1.99</v>
      </c>
      <c r="L58" s="25" t="s">
        <v>130</v>
      </c>
    </row>
    <row r="59" customFormat="false" ht="15" hidden="false" customHeight="false" outlineLevel="0" collapsed="false">
      <c r="A59" s="22" t="s">
        <v>240</v>
      </c>
      <c r="B59" s="23" t="n">
        <v>11</v>
      </c>
      <c r="C59" s="22" t="s">
        <v>141</v>
      </c>
      <c r="D59" s="22" t="s">
        <v>241</v>
      </c>
      <c r="E59" s="23" t="n">
        <v>378</v>
      </c>
      <c r="F59" s="23" t="n">
        <v>35</v>
      </c>
      <c r="G59" s="23" t="n">
        <v>6.8</v>
      </c>
      <c r="H59" s="23" t="n">
        <v>45.1</v>
      </c>
      <c r="I59" s="24" t="n">
        <v>9.57</v>
      </c>
      <c r="J59" s="24" t="n">
        <v>8.43</v>
      </c>
      <c r="K59" s="24" t="n">
        <v>7.28</v>
      </c>
      <c r="L59" s="25" t="s">
        <v>130</v>
      </c>
    </row>
    <row r="60" customFormat="false" ht="15" hidden="false" customHeight="false" outlineLevel="0" collapsed="false">
      <c r="A60" s="22" t="s">
        <v>242</v>
      </c>
      <c r="B60" s="23" t="n">
        <v>12</v>
      </c>
      <c r="C60" s="22" t="s">
        <v>128</v>
      </c>
      <c r="D60" s="22" t="s">
        <v>243</v>
      </c>
      <c r="E60" s="23" t="n">
        <v>336</v>
      </c>
      <c r="F60" s="23" t="n">
        <v>8.9</v>
      </c>
      <c r="G60" s="23" t="n">
        <v>8</v>
      </c>
      <c r="H60" s="23" t="n">
        <v>57.1</v>
      </c>
      <c r="I60" s="24" t="n">
        <v>1.92</v>
      </c>
      <c r="J60" s="24" t="n">
        <v>1.69</v>
      </c>
      <c r="K60" s="24" t="n">
        <v>1.46</v>
      </c>
      <c r="L60" s="25" t="s">
        <v>130</v>
      </c>
    </row>
    <row r="61" customFormat="false" ht="15" hidden="false" customHeight="false" outlineLevel="0" collapsed="false">
      <c r="A61" s="22" t="s">
        <v>244</v>
      </c>
      <c r="B61" s="23" t="n">
        <v>12</v>
      </c>
      <c r="C61" s="22" t="s">
        <v>132</v>
      </c>
      <c r="D61" s="22" t="s">
        <v>245</v>
      </c>
      <c r="E61" s="23" t="n">
        <v>222</v>
      </c>
      <c r="F61" s="23" t="n">
        <v>9.3</v>
      </c>
      <c r="G61" s="23" t="n">
        <v>5.9</v>
      </c>
      <c r="H61" s="23" t="n">
        <v>33.4</v>
      </c>
      <c r="I61" s="24" t="n">
        <v>1.62</v>
      </c>
      <c r="J61" s="24" t="n">
        <v>1.42</v>
      </c>
      <c r="K61" s="24" t="n">
        <v>1.23</v>
      </c>
      <c r="L61" s="25" t="s">
        <v>130</v>
      </c>
    </row>
    <row r="62" customFormat="false" ht="15" hidden="false" customHeight="false" outlineLevel="0" collapsed="false">
      <c r="A62" s="22" t="s">
        <v>246</v>
      </c>
      <c r="B62" s="23" t="n">
        <v>12</v>
      </c>
      <c r="C62" s="22" t="s">
        <v>135</v>
      </c>
      <c r="D62" s="22" t="s">
        <v>247</v>
      </c>
      <c r="E62" s="23" t="n">
        <v>475</v>
      </c>
      <c r="F62" s="23" t="n">
        <v>46.5</v>
      </c>
      <c r="G62" s="23" t="n">
        <v>9.6</v>
      </c>
      <c r="H62" s="23" t="n">
        <v>53.9</v>
      </c>
      <c r="I62" s="24" t="n">
        <v>5.68</v>
      </c>
      <c r="J62" s="24" t="n">
        <v>5</v>
      </c>
      <c r="K62" s="24" t="n">
        <v>4.31</v>
      </c>
      <c r="L62" s="25" t="s">
        <v>130</v>
      </c>
    </row>
    <row r="63" customFormat="false" ht="15" hidden="false" customHeight="false" outlineLevel="0" collapsed="false">
      <c r="A63" s="22" t="s">
        <v>248</v>
      </c>
      <c r="B63" s="23" t="n">
        <v>12</v>
      </c>
      <c r="C63" s="22" t="s">
        <v>138</v>
      </c>
      <c r="D63" s="22" t="s">
        <v>180</v>
      </c>
      <c r="E63" s="23" t="n">
        <v>200</v>
      </c>
      <c r="F63" s="23" t="n">
        <v>10.7</v>
      </c>
      <c r="G63" s="23" t="n">
        <v>13.4</v>
      </c>
      <c r="H63" s="23" t="n">
        <v>11.5</v>
      </c>
      <c r="I63" s="24" t="n">
        <v>1.65</v>
      </c>
      <c r="J63" s="24" t="n">
        <v>1.45</v>
      </c>
      <c r="K63" s="24" t="n">
        <v>1.26</v>
      </c>
      <c r="L63" s="25" t="s">
        <v>130</v>
      </c>
    </row>
    <row r="64" customFormat="false" ht="15" hidden="false" customHeight="false" outlineLevel="0" collapsed="false">
      <c r="A64" s="22" t="s">
        <v>249</v>
      </c>
      <c r="B64" s="23" t="n">
        <v>12</v>
      </c>
      <c r="C64" s="22" t="s">
        <v>141</v>
      </c>
      <c r="D64" s="22" t="s">
        <v>172</v>
      </c>
      <c r="E64" s="23" t="n">
        <v>383</v>
      </c>
      <c r="F64" s="23" t="n">
        <v>40.5</v>
      </c>
      <c r="G64" s="23" t="n">
        <v>10.9</v>
      </c>
      <c r="H64" s="23" t="n">
        <v>30.9</v>
      </c>
      <c r="I64" s="24" t="n">
        <v>4.77</v>
      </c>
      <c r="J64" s="24" t="n">
        <v>4.2</v>
      </c>
      <c r="K64" s="24" t="n">
        <v>3.63</v>
      </c>
      <c r="L64" s="25" t="s">
        <v>130</v>
      </c>
    </row>
    <row r="65" customFormat="false" ht="15" hidden="false" customHeight="false" outlineLevel="0" collapsed="false">
      <c r="A65" s="22" t="s">
        <v>250</v>
      </c>
      <c r="B65" s="23" t="n">
        <v>13</v>
      </c>
      <c r="C65" s="22" t="s">
        <v>128</v>
      </c>
      <c r="D65" s="22" t="s">
        <v>251</v>
      </c>
      <c r="E65" s="23" t="n">
        <v>346</v>
      </c>
      <c r="F65" s="23" t="n">
        <v>29</v>
      </c>
      <c r="G65" s="23" t="n">
        <v>12.9</v>
      </c>
      <c r="H65" s="23" t="n">
        <v>30.5</v>
      </c>
      <c r="I65" s="24" t="n">
        <v>2.05</v>
      </c>
      <c r="J65" s="24" t="n">
        <v>1.8</v>
      </c>
      <c r="K65" s="24" t="n">
        <v>1.56</v>
      </c>
      <c r="L65" s="25" t="s">
        <v>130</v>
      </c>
    </row>
    <row r="66" customFormat="false" ht="15" hidden="false" customHeight="false" outlineLevel="0" collapsed="false">
      <c r="A66" s="22" t="s">
        <v>252</v>
      </c>
      <c r="B66" s="23" t="n">
        <v>13</v>
      </c>
      <c r="C66" s="22" t="s">
        <v>132</v>
      </c>
      <c r="D66" s="22" t="s">
        <v>156</v>
      </c>
      <c r="E66" s="23" t="n">
        <v>219</v>
      </c>
      <c r="F66" s="23" t="n">
        <v>23.1</v>
      </c>
      <c r="G66" s="23" t="n">
        <v>7.2</v>
      </c>
      <c r="H66" s="23" t="n">
        <v>17</v>
      </c>
      <c r="I66" s="24" t="n">
        <v>2.69</v>
      </c>
      <c r="J66" s="24" t="n">
        <v>2.37</v>
      </c>
      <c r="K66" s="24" t="n">
        <v>2.05</v>
      </c>
      <c r="L66" s="25" t="s">
        <v>130</v>
      </c>
    </row>
    <row r="67" customFormat="false" ht="15" hidden="false" customHeight="false" outlineLevel="0" collapsed="false">
      <c r="A67" s="22" t="s">
        <v>253</v>
      </c>
      <c r="B67" s="23" t="n">
        <v>13</v>
      </c>
      <c r="C67" s="22" t="s">
        <v>135</v>
      </c>
      <c r="D67" s="22" t="s">
        <v>254</v>
      </c>
      <c r="E67" s="23" t="n">
        <v>479</v>
      </c>
      <c r="F67" s="23" t="n">
        <v>44.2</v>
      </c>
      <c r="G67" s="23" t="n">
        <v>12.2</v>
      </c>
      <c r="H67" s="23" t="n">
        <v>51.1</v>
      </c>
      <c r="I67" s="24" t="n">
        <v>3.64</v>
      </c>
      <c r="J67" s="24" t="n">
        <v>3.2</v>
      </c>
      <c r="K67" s="24" t="n">
        <v>2.77</v>
      </c>
      <c r="L67" s="25" t="s">
        <v>130</v>
      </c>
    </row>
    <row r="68" customFormat="false" ht="15" hidden="false" customHeight="false" outlineLevel="0" collapsed="false">
      <c r="A68" s="22" t="s">
        <v>255</v>
      </c>
      <c r="B68" s="23" t="n">
        <v>13</v>
      </c>
      <c r="C68" s="22" t="s">
        <v>138</v>
      </c>
      <c r="D68" s="22" t="s">
        <v>256</v>
      </c>
      <c r="E68" s="23" t="n">
        <v>177</v>
      </c>
      <c r="F68" s="23" t="n">
        <v>7</v>
      </c>
      <c r="G68" s="23" t="n">
        <v>6.3</v>
      </c>
      <c r="H68" s="23" t="n">
        <v>26</v>
      </c>
      <c r="I68" s="24" t="n">
        <v>2.4</v>
      </c>
      <c r="J68" s="24" t="n">
        <v>2.11</v>
      </c>
      <c r="K68" s="24" t="n">
        <v>1.82</v>
      </c>
      <c r="L68" s="25" t="s">
        <v>130</v>
      </c>
    </row>
    <row r="69" customFormat="false" ht="15" hidden="false" customHeight="false" outlineLevel="0" collapsed="false">
      <c r="A69" s="22" t="s">
        <v>257</v>
      </c>
      <c r="B69" s="23" t="n">
        <v>13</v>
      </c>
      <c r="C69" s="22" t="s">
        <v>141</v>
      </c>
      <c r="D69" s="22" t="s">
        <v>258</v>
      </c>
      <c r="E69" s="23" t="n">
        <v>382</v>
      </c>
      <c r="F69" s="23" t="n">
        <v>32.8</v>
      </c>
      <c r="G69" s="23" t="n">
        <v>10.2</v>
      </c>
      <c r="H69" s="23" t="n">
        <v>39.8</v>
      </c>
      <c r="I69" s="24" t="n">
        <v>5.17</v>
      </c>
      <c r="J69" s="24" t="n">
        <v>4.55</v>
      </c>
      <c r="K69" s="24" t="n">
        <v>3.93</v>
      </c>
      <c r="L69" s="25" t="s">
        <v>130</v>
      </c>
    </row>
    <row r="70" customFormat="false" ht="15" hidden="false" customHeight="false" outlineLevel="0" collapsed="false">
      <c r="A70" s="22" t="s">
        <v>259</v>
      </c>
      <c r="B70" s="23" t="n">
        <v>14</v>
      </c>
      <c r="C70" s="22" t="s">
        <v>128</v>
      </c>
      <c r="D70" s="22" t="s">
        <v>260</v>
      </c>
      <c r="E70" s="23" t="n">
        <v>341</v>
      </c>
      <c r="F70" s="23" t="n">
        <v>25.4</v>
      </c>
      <c r="G70" s="23" t="n">
        <v>18.1</v>
      </c>
      <c r="H70" s="23" t="n">
        <v>19.6</v>
      </c>
      <c r="I70" s="24" t="n">
        <v>2.71</v>
      </c>
      <c r="J70" s="24" t="n">
        <v>2.39</v>
      </c>
      <c r="K70" s="24" t="n">
        <v>2.06</v>
      </c>
      <c r="L70" s="25" t="s">
        <v>130</v>
      </c>
    </row>
    <row r="71" customFormat="false" ht="15" hidden="false" customHeight="false" outlineLevel="0" collapsed="false">
      <c r="A71" s="22" t="s">
        <v>261</v>
      </c>
      <c r="B71" s="23" t="n">
        <v>14</v>
      </c>
      <c r="C71" s="22" t="s">
        <v>132</v>
      </c>
      <c r="D71" s="22" t="s">
        <v>262</v>
      </c>
      <c r="E71" s="23" t="n">
        <v>259</v>
      </c>
      <c r="F71" s="23" t="n">
        <v>9.6</v>
      </c>
      <c r="G71" s="23" t="n">
        <v>7.6</v>
      </c>
      <c r="H71" s="23" t="n">
        <v>37.5</v>
      </c>
      <c r="I71" s="24" t="n">
        <v>1.85</v>
      </c>
      <c r="J71" s="24" t="n">
        <v>1.63</v>
      </c>
      <c r="K71" s="24" t="n">
        <v>1.4</v>
      </c>
      <c r="L71" s="25" t="s">
        <v>130</v>
      </c>
    </row>
    <row r="72" customFormat="false" ht="15" hidden="false" customHeight="false" outlineLevel="0" collapsed="false">
      <c r="A72" s="22" t="s">
        <v>263</v>
      </c>
      <c r="B72" s="23" t="n">
        <v>14</v>
      </c>
      <c r="C72" s="22" t="s">
        <v>135</v>
      </c>
      <c r="D72" s="22" t="s">
        <v>264</v>
      </c>
      <c r="E72" s="23" t="n">
        <v>478</v>
      </c>
      <c r="F72" s="23" t="n">
        <v>35.6</v>
      </c>
      <c r="G72" s="23" t="n">
        <v>17.8</v>
      </c>
      <c r="H72" s="23" t="n">
        <v>43.9</v>
      </c>
      <c r="I72" s="24" t="n">
        <v>6.04</v>
      </c>
      <c r="J72" s="24" t="n">
        <v>5.31</v>
      </c>
      <c r="K72" s="24" t="n">
        <v>4.59</v>
      </c>
      <c r="L72" s="25" t="s">
        <v>130</v>
      </c>
    </row>
    <row r="73" customFormat="false" ht="15" hidden="false" customHeight="false" outlineLevel="0" collapsed="false">
      <c r="A73" s="22" t="s">
        <v>265</v>
      </c>
      <c r="B73" s="23" t="n">
        <v>14</v>
      </c>
      <c r="C73" s="22" t="s">
        <v>138</v>
      </c>
      <c r="D73" s="22" t="s">
        <v>160</v>
      </c>
      <c r="E73" s="23" t="n">
        <v>175</v>
      </c>
      <c r="F73" s="23" t="n">
        <v>8.6</v>
      </c>
      <c r="G73" s="23" t="n">
        <v>11.3</v>
      </c>
      <c r="H73" s="23" t="n">
        <v>11.2</v>
      </c>
      <c r="I73" s="24" t="n">
        <v>2.68</v>
      </c>
      <c r="J73" s="24" t="n">
        <v>2.36</v>
      </c>
      <c r="K73" s="24" t="n">
        <v>2.04</v>
      </c>
      <c r="L73" s="25" t="s">
        <v>130</v>
      </c>
    </row>
    <row r="74" customFormat="false" ht="15" hidden="false" customHeight="false" outlineLevel="0" collapsed="false">
      <c r="A74" s="22" t="s">
        <v>266</v>
      </c>
      <c r="B74" s="23" t="n">
        <v>14</v>
      </c>
      <c r="C74" s="22" t="s">
        <v>141</v>
      </c>
      <c r="D74" s="22" t="s">
        <v>267</v>
      </c>
      <c r="E74" s="23" t="n">
        <v>379</v>
      </c>
      <c r="F74" s="23" t="n">
        <v>43.4</v>
      </c>
      <c r="G74" s="23" t="n">
        <v>9.3</v>
      </c>
      <c r="H74" s="23" t="n">
        <v>30.9</v>
      </c>
      <c r="I74" s="24" t="n">
        <v>6.1</v>
      </c>
      <c r="J74" s="24" t="n">
        <v>5.37</v>
      </c>
      <c r="K74" s="24" t="n">
        <v>4.63</v>
      </c>
      <c r="L74" s="25" t="s">
        <v>130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38" min="2" style="1" width="12"/>
  </cols>
  <sheetData>
    <row r="1" customFormat="false" ht="36" hidden="false" customHeight="true" outlineLevel="0" collapsed="false">
      <c r="A1" s="2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1.5" hidden="false" customHeight="true" outlineLevel="0" collapsed="false">
      <c r="A2" s="3" t="s">
        <v>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31.5" hidden="false" customHeight="true" outlineLevel="0" collapsed="false">
      <c r="A4" s="6" t="s">
        <v>13</v>
      </c>
      <c r="B4" s="6" t="s">
        <v>270</v>
      </c>
      <c r="C4" s="6" t="s">
        <v>271</v>
      </c>
      <c r="D4" s="6" t="s">
        <v>272</v>
      </c>
      <c r="E4" s="6" t="s">
        <v>273</v>
      </c>
      <c r="F4" s="6" t="s">
        <v>274</v>
      </c>
      <c r="G4" s="6" t="s">
        <v>275</v>
      </c>
      <c r="H4" s="6" t="s">
        <v>276</v>
      </c>
      <c r="I4" s="6" t="s">
        <v>277</v>
      </c>
      <c r="J4" s="6" t="s">
        <v>278</v>
      </c>
      <c r="K4" s="6" t="s">
        <v>279</v>
      </c>
      <c r="L4" s="6" t="s">
        <v>280</v>
      </c>
      <c r="M4" s="6" t="s">
        <v>281</v>
      </c>
      <c r="N4" s="6" t="s">
        <v>282</v>
      </c>
      <c r="O4" s="6" t="s">
        <v>283</v>
      </c>
      <c r="P4" s="6" t="s">
        <v>284</v>
      </c>
      <c r="Q4" s="6" t="s">
        <v>285</v>
      </c>
      <c r="R4" s="6" t="s">
        <v>286</v>
      </c>
      <c r="S4" s="6" t="s">
        <v>287</v>
      </c>
      <c r="T4" s="6" t="s">
        <v>288</v>
      </c>
      <c r="U4" s="6" t="s">
        <v>289</v>
      </c>
      <c r="V4" s="6" t="s">
        <v>290</v>
      </c>
      <c r="W4" s="6" t="s">
        <v>291</v>
      </c>
      <c r="X4" s="6" t="s">
        <v>292</v>
      </c>
      <c r="Y4" s="6" t="s">
        <v>293</v>
      </c>
      <c r="Z4" s="6" t="s">
        <v>294</v>
      </c>
      <c r="AA4" s="6" t="s">
        <v>295</v>
      </c>
      <c r="AB4" s="6" t="s">
        <v>296</v>
      </c>
      <c r="AC4" s="6" t="s">
        <v>297</v>
      </c>
      <c r="AD4" s="6" t="s">
        <v>298</v>
      </c>
      <c r="AE4" s="6" t="s">
        <v>299</v>
      </c>
      <c r="AF4" s="6" t="s">
        <v>300</v>
      </c>
      <c r="AG4" s="6" t="s">
        <v>301</v>
      </c>
      <c r="AH4" s="6" t="s">
        <v>302</v>
      </c>
      <c r="AI4" s="6" t="s">
        <v>303</v>
      </c>
      <c r="AJ4" s="6" t="s">
        <v>304</v>
      </c>
      <c r="AK4" s="6" t="s">
        <v>305</v>
      </c>
      <c r="AL4" s="6" t="s">
        <v>306</v>
      </c>
    </row>
    <row r="5" customFormat="false" ht="21.75" hidden="false" customHeight="true" outlineLevel="0" collapsed="false">
      <c r="A5" s="8" t="s">
        <v>307</v>
      </c>
      <c r="B5" s="26" t="n">
        <v>800</v>
      </c>
      <c r="C5" s="26" t="n">
        <v>1000</v>
      </c>
      <c r="D5" s="26" t="n">
        <v>1200</v>
      </c>
      <c r="E5" s="26" t="n">
        <v>1500</v>
      </c>
      <c r="F5" s="26" t="n">
        <v>1800</v>
      </c>
      <c r="G5" s="26" t="n">
        <v>2200</v>
      </c>
      <c r="H5" s="26" t="n">
        <v>2500</v>
      </c>
      <c r="I5" s="26" t="n">
        <v>2800</v>
      </c>
      <c r="J5" s="26" t="n">
        <v>3000</v>
      </c>
      <c r="K5" s="26" t="n">
        <v>3200</v>
      </c>
      <c r="L5" s="26" t="n">
        <v>3400</v>
      </c>
      <c r="M5" s="26" t="n">
        <v>3600</v>
      </c>
      <c r="N5" s="26" t="n">
        <v>3800</v>
      </c>
      <c r="O5" s="26" t="n">
        <v>3800</v>
      </c>
      <c r="P5" s="26" t="n">
        <v>3800</v>
      </c>
      <c r="Q5" s="26" t="n">
        <v>3800</v>
      </c>
      <c r="R5" s="26" t="n">
        <v>3800</v>
      </c>
      <c r="S5" s="26" t="n">
        <v>3800</v>
      </c>
      <c r="T5" s="26" t="n">
        <v>3800</v>
      </c>
      <c r="U5" s="26" t="n">
        <v>3800</v>
      </c>
      <c r="V5" s="26" t="n">
        <v>3800</v>
      </c>
      <c r="W5" s="26" t="n">
        <v>3800</v>
      </c>
      <c r="X5" s="26" t="n">
        <v>3800</v>
      </c>
      <c r="Y5" s="26" t="n">
        <v>3800</v>
      </c>
      <c r="Z5" s="26" t="n">
        <v>4200</v>
      </c>
      <c r="AA5" s="26" t="n">
        <v>4200</v>
      </c>
      <c r="AB5" s="26" t="n">
        <v>4200</v>
      </c>
      <c r="AC5" s="26" t="n">
        <v>4200</v>
      </c>
      <c r="AD5" s="26" t="n">
        <v>4200</v>
      </c>
      <c r="AE5" s="26" t="n">
        <v>4200</v>
      </c>
      <c r="AF5" s="26" t="n">
        <v>4200</v>
      </c>
      <c r="AG5" s="26" t="n">
        <v>4200</v>
      </c>
      <c r="AH5" s="26" t="n">
        <v>4200</v>
      </c>
      <c r="AI5" s="26" t="n">
        <v>4200</v>
      </c>
      <c r="AJ5" s="26" t="n">
        <v>4200</v>
      </c>
      <c r="AK5" s="26" t="n">
        <v>4200</v>
      </c>
      <c r="AL5" s="17" t="n">
        <f aca="false">SUM(B5:AK5)</f>
        <v>123000</v>
      </c>
    </row>
    <row r="6" customFormat="false" ht="15" hidden="false" customHeight="true" outlineLevel="0" collapsed="false">
      <c r="A6" s="8" t="s">
        <v>67</v>
      </c>
      <c r="B6" s="26" t="n">
        <f aca="false">INDEX('Исходные данные'!$K$8:$K$29,MATCH("A14",'Исходные данные'!$J$8:$J$29,0))</f>
        <v>5.5</v>
      </c>
      <c r="C6" s="17" t="n">
        <f aca="false">INDEX('Исходные данные'!$K$8:$K$29,MATCH("A14",'Исходные данные'!$J$8:$J$29,0))</f>
        <v>5.5</v>
      </c>
      <c r="D6" s="17" t="n">
        <f aca="false">INDEX('Исходные данные'!$K$8:$K$29,MATCH("A14",'Исходные данные'!$J$8:$J$29,0))</f>
        <v>5.5</v>
      </c>
      <c r="E6" s="17" t="n">
        <f aca="false">INDEX('Исходные данные'!$K$8:$K$29,MATCH("A14",'Исходные данные'!$J$8:$J$29,0))</f>
        <v>5.5</v>
      </c>
      <c r="F6" s="17" t="n">
        <f aca="false">INDEX('Исходные данные'!$K$8:$K$29,MATCH("A14",'Исходные данные'!$J$8:$J$29,0))</f>
        <v>5.5</v>
      </c>
      <c r="G6" s="17" t="n">
        <f aca="false">INDEX('Исходные данные'!$K$8:$K$29,MATCH("A14",'Исходные данные'!$J$8:$J$29,0))</f>
        <v>5.5</v>
      </c>
      <c r="H6" s="17" t="n">
        <f aca="false">INDEX('Исходные данные'!$K$8:$K$29,MATCH("A14",'Исходные данные'!$J$8:$J$29,0))</f>
        <v>5.5</v>
      </c>
      <c r="I6" s="17" t="n">
        <f aca="false">INDEX('Исходные данные'!$K$8:$K$29,MATCH("A14",'Исходные данные'!$J$8:$J$29,0))</f>
        <v>5.5</v>
      </c>
      <c r="J6" s="17" t="n">
        <f aca="false">INDEX('Исходные данные'!$K$8:$K$29,MATCH("A14",'Исходные данные'!$J$8:$J$29,0))</f>
        <v>5.5</v>
      </c>
      <c r="K6" s="17" t="n">
        <f aca="false">INDEX('Исходные данные'!$K$8:$K$29,MATCH("A14",'Исходные данные'!$J$8:$J$29,0))</f>
        <v>5.5</v>
      </c>
      <c r="L6" s="17" t="n">
        <f aca="false">INDEX('Исходные данные'!$K$8:$K$29,MATCH("A14",'Исходные данные'!$J$8:$J$29,0))</f>
        <v>5.5</v>
      </c>
      <c r="M6" s="17" t="n">
        <f aca="false">INDEX('Исходные данные'!$K$8:$K$29,MATCH("A14",'Исходные данные'!$J$8:$J$29,0))</f>
        <v>5.5</v>
      </c>
      <c r="N6" s="17" t="n">
        <f aca="false">INDEX('Исходные данные'!$K$8:$K$29,MATCH("A14",'Исходные данные'!$J$8:$J$29,0))</f>
        <v>5.5</v>
      </c>
      <c r="O6" s="17" t="n">
        <f aca="false">INDEX('Исходные данные'!$K$8:$K$29,MATCH("A14",'Исходные данные'!$J$8:$J$29,0))</f>
        <v>5.5</v>
      </c>
      <c r="P6" s="17" t="n">
        <f aca="false">INDEX('Исходные данные'!$K$8:$K$29,MATCH("A14",'Исходные данные'!$J$8:$J$29,0))</f>
        <v>5.5</v>
      </c>
      <c r="Q6" s="17" t="n">
        <f aca="false">INDEX('Исходные данные'!$K$8:$K$29,MATCH("A14",'Исходные данные'!$J$8:$J$29,0))</f>
        <v>5.5</v>
      </c>
      <c r="R6" s="17" t="n">
        <f aca="false">INDEX('Исходные данные'!$K$8:$K$29,MATCH("A14",'Исходные данные'!$J$8:$J$29,0))</f>
        <v>5.5</v>
      </c>
      <c r="S6" s="17" t="n">
        <f aca="false">INDEX('Исходные данные'!$K$8:$K$29,MATCH("A14",'Исходные данные'!$J$8:$J$29,0))</f>
        <v>5.5</v>
      </c>
      <c r="T6" s="17" t="n">
        <f aca="false">INDEX('Исходные данные'!$K$8:$K$29,MATCH("A14",'Исходные данные'!$J$8:$J$29,0))</f>
        <v>5.5</v>
      </c>
      <c r="U6" s="17" t="n">
        <f aca="false">INDEX('Исходные данные'!$K$8:$K$29,MATCH("A14",'Исходные данные'!$J$8:$J$29,0))</f>
        <v>5.5</v>
      </c>
      <c r="V6" s="17" t="n">
        <f aca="false">INDEX('Исходные данные'!$K$8:$K$29,MATCH("A14",'Исходные данные'!$J$8:$J$29,0))</f>
        <v>5.5</v>
      </c>
      <c r="W6" s="17" t="n">
        <f aca="false">INDEX('Исходные данные'!$K$8:$K$29,MATCH("A14",'Исходные данные'!$J$8:$J$29,0))</f>
        <v>5.5</v>
      </c>
      <c r="X6" s="17" t="n">
        <f aca="false">INDEX('Исходные данные'!$K$8:$K$29,MATCH("A14",'Исходные данные'!$J$8:$J$29,0))</f>
        <v>5.5</v>
      </c>
      <c r="Y6" s="17" t="n">
        <f aca="false">INDEX('Исходные данные'!$K$8:$K$29,MATCH("A14",'Исходные данные'!$J$8:$J$29,0))</f>
        <v>5.5</v>
      </c>
      <c r="Z6" s="17" t="n">
        <f aca="false">INDEX('Исходные данные'!$K$8:$K$29,MATCH("A14",'Исходные данные'!$J$8:$J$29,0))</f>
        <v>5.5</v>
      </c>
      <c r="AA6" s="17" t="n">
        <f aca="false">INDEX('Исходные данные'!$K$8:$K$29,MATCH("A14",'Исходные данные'!$J$8:$J$29,0))</f>
        <v>5.5</v>
      </c>
      <c r="AB6" s="17" t="n">
        <f aca="false">INDEX('Исходные данные'!$K$8:$K$29,MATCH("A14",'Исходные данные'!$J$8:$J$29,0))</f>
        <v>5.5</v>
      </c>
      <c r="AC6" s="17" t="n">
        <f aca="false">INDEX('Исходные данные'!$K$8:$K$29,MATCH("A14",'Исходные данные'!$J$8:$J$29,0))</f>
        <v>5.5</v>
      </c>
      <c r="AD6" s="17" t="n">
        <f aca="false">INDEX('Исходные данные'!$K$8:$K$29,MATCH("A14",'Исходные данные'!$J$8:$J$29,0))</f>
        <v>5.5</v>
      </c>
      <c r="AE6" s="17" t="n">
        <f aca="false">INDEX('Исходные данные'!$K$8:$K$29,MATCH("A14",'Исходные данные'!$J$8:$J$29,0))</f>
        <v>5.5</v>
      </c>
      <c r="AF6" s="17" t="n">
        <f aca="false">INDEX('Исходные данные'!$K$8:$K$29,MATCH("A14",'Исходные данные'!$J$8:$J$29,0))</f>
        <v>5.5</v>
      </c>
      <c r="AG6" s="17" t="n">
        <f aca="false">INDEX('Исходные данные'!$K$8:$K$29,MATCH("A14",'Исходные данные'!$J$8:$J$29,0))</f>
        <v>5.5</v>
      </c>
      <c r="AH6" s="17" t="n">
        <f aca="false">INDEX('Исходные данные'!$K$8:$K$29,MATCH("A14",'Исходные данные'!$J$8:$J$29,0))</f>
        <v>5.5</v>
      </c>
      <c r="AI6" s="17" t="n">
        <f aca="false">INDEX('Исходные данные'!$K$8:$K$29,MATCH("A14",'Исходные данные'!$J$8:$J$29,0))</f>
        <v>5.5</v>
      </c>
      <c r="AJ6" s="17" t="n">
        <f aca="false">INDEX('Исходные данные'!$K$8:$K$29,MATCH("A14",'Исходные данные'!$J$8:$J$29,0))</f>
        <v>5.5</v>
      </c>
      <c r="AK6" s="17" t="n">
        <f aca="false">INDEX('Исходные данные'!$K$8:$K$29,MATCH("A14",'Исходные данные'!$J$8:$J$29,0))</f>
        <v>5.5</v>
      </c>
      <c r="AL6" s="17" t="n">
        <f aca="false">AVERAGE(B6:AK6)</f>
        <v>5.5</v>
      </c>
    </row>
    <row r="7" customFormat="false" ht="15" hidden="false" customHeight="true" outlineLevel="0" collapsed="false">
      <c r="A7" s="8" t="s">
        <v>308</v>
      </c>
      <c r="B7" s="27" t="n">
        <f aca="false">B5/B6</f>
        <v>145.454545454545</v>
      </c>
      <c r="C7" s="19" t="n">
        <f aca="false">C5/C6</f>
        <v>181.818181818182</v>
      </c>
      <c r="D7" s="19" t="n">
        <f aca="false">D5/D6</f>
        <v>218.181818181818</v>
      </c>
      <c r="E7" s="19" t="n">
        <f aca="false">E5/E6</f>
        <v>272.727272727273</v>
      </c>
      <c r="F7" s="19" t="n">
        <f aca="false">F5/F6</f>
        <v>327.272727272727</v>
      </c>
      <c r="G7" s="19" t="n">
        <f aca="false">G5/G6</f>
        <v>400</v>
      </c>
      <c r="H7" s="19" t="n">
        <f aca="false">H5/H6</f>
        <v>454.545454545455</v>
      </c>
      <c r="I7" s="19" t="n">
        <f aca="false">I5/I6</f>
        <v>509.090909090909</v>
      </c>
      <c r="J7" s="19" t="n">
        <f aca="false">J5/J6</f>
        <v>545.454545454546</v>
      </c>
      <c r="K7" s="19" t="n">
        <f aca="false">K5/K6</f>
        <v>581.818181818182</v>
      </c>
      <c r="L7" s="19" t="n">
        <f aca="false">L5/L6</f>
        <v>618.181818181818</v>
      </c>
      <c r="M7" s="19" t="n">
        <f aca="false">M5/M6</f>
        <v>654.545454545455</v>
      </c>
      <c r="N7" s="19" t="n">
        <f aca="false">N5/N6</f>
        <v>690.909090909091</v>
      </c>
      <c r="O7" s="19" t="n">
        <f aca="false">O5/O6</f>
        <v>690.909090909091</v>
      </c>
      <c r="P7" s="19" t="n">
        <f aca="false">P5/P6</f>
        <v>690.909090909091</v>
      </c>
      <c r="Q7" s="19" t="n">
        <f aca="false">Q5/Q6</f>
        <v>690.909090909091</v>
      </c>
      <c r="R7" s="19" t="n">
        <f aca="false">R5/R6</f>
        <v>690.909090909091</v>
      </c>
      <c r="S7" s="19" t="n">
        <f aca="false">S5/S6</f>
        <v>690.909090909091</v>
      </c>
      <c r="T7" s="19" t="n">
        <f aca="false">T5/T6</f>
        <v>690.909090909091</v>
      </c>
      <c r="U7" s="19" t="n">
        <f aca="false">U5/U6</f>
        <v>690.909090909091</v>
      </c>
      <c r="V7" s="19" t="n">
        <f aca="false">V5/V6</f>
        <v>690.909090909091</v>
      </c>
      <c r="W7" s="19" t="n">
        <f aca="false">W5/W6</f>
        <v>690.909090909091</v>
      </c>
      <c r="X7" s="19" t="n">
        <f aca="false">X5/X6</f>
        <v>690.909090909091</v>
      </c>
      <c r="Y7" s="19" t="n">
        <f aca="false">Y5/Y6</f>
        <v>690.909090909091</v>
      </c>
      <c r="Z7" s="19" t="n">
        <f aca="false">Z5/Z6</f>
        <v>763.636363636364</v>
      </c>
      <c r="AA7" s="19" t="n">
        <f aca="false">AA5/AA6</f>
        <v>763.636363636364</v>
      </c>
      <c r="AB7" s="19" t="n">
        <f aca="false">AB5/AB6</f>
        <v>763.636363636364</v>
      </c>
      <c r="AC7" s="19" t="n">
        <f aca="false">AC5/AC6</f>
        <v>763.636363636364</v>
      </c>
      <c r="AD7" s="19" t="n">
        <f aca="false">AD5/AD6</f>
        <v>763.636363636364</v>
      </c>
      <c r="AE7" s="19" t="n">
        <f aca="false">AE5/AE6</f>
        <v>763.636363636364</v>
      </c>
      <c r="AF7" s="19" t="n">
        <f aca="false">AF5/AF6</f>
        <v>763.636363636364</v>
      </c>
      <c r="AG7" s="19" t="n">
        <f aca="false">AG5/AG6</f>
        <v>763.636363636364</v>
      </c>
      <c r="AH7" s="19" t="n">
        <f aca="false">AH5/AH6</f>
        <v>763.636363636364</v>
      </c>
      <c r="AI7" s="19" t="n">
        <f aca="false">AI5/AI6</f>
        <v>763.636363636364</v>
      </c>
      <c r="AJ7" s="19" t="n">
        <f aca="false">AJ5/AJ6</f>
        <v>763.636363636364</v>
      </c>
      <c r="AK7" s="19" t="n">
        <f aca="false">AK5/AK6</f>
        <v>763.636363636364</v>
      </c>
      <c r="AL7" s="19" t="n">
        <f aca="false">SUM(B7:AK7)</f>
        <v>22363.6363636364</v>
      </c>
    </row>
    <row r="8" customFormat="false" ht="15" hidden="false" customHeight="true" outlineLevel="0" collapsed="false">
      <c r="A8" s="8" t="s">
        <v>309</v>
      </c>
      <c r="B8" s="27" t="n">
        <v>20</v>
      </c>
      <c r="C8" s="27" t="n">
        <v>24</v>
      </c>
      <c r="D8" s="27" t="n">
        <v>28</v>
      </c>
      <c r="E8" s="27" t="n">
        <v>32</v>
      </c>
      <c r="F8" s="27" t="n">
        <v>36</v>
      </c>
      <c r="G8" s="27" t="n">
        <v>40</v>
      </c>
      <c r="H8" s="27" t="n">
        <v>45</v>
      </c>
      <c r="I8" s="27" t="n">
        <v>50</v>
      </c>
      <c r="J8" s="27" t="n">
        <v>55</v>
      </c>
      <c r="K8" s="27" t="n">
        <v>60</v>
      </c>
      <c r="L8" s="27" t="n">
        <v>65</v>
      </c>
      <c r="M8" s="27" t="n">
        <v>70</v>
      </c>
      <c r="N8" s="27" t="n">
        <v>75</v>
      </c>
      <c r="O8" s="27" t="n">
        <v>75</v>
      </c>
      <c r="P8" s="27" t="n">
        <v>75</v>
      </c>
      <c r="Q8" s="27" t="n">
        <v>75</v>
      </c>
      <c r="R8" s="27" t="n">
        <v>75</v>
      </c>
      <c r="S8" s="27" t="n">
        <v>75</v>
      </c>
      <c r="T8" s="27" t="n">
        <v>75</v>
      </c>
      <c r="U8" s="27" t="n">
        <v>75</v>
      </c>
      <c r="V8" s="27" t="n">
        <v>75</v>
      </c>
      <c r="W8" s="27" t="n">
        <v>75</v>
      </c>
      <c r="X8" s="27" t="n">
        <v>75</v>
      </c>
      <c r="Y8" s="27" t="n">
        <v>75</v>
      </c>
      <c r="Z8" s="27" t="n">
        <v>85</v>
      </c>
      <c r="AA8" s="27" t="n">
        <v>85</v>
      </c>
      <c r="AB8" s="27" t="n">
        <v>85</v>
      </c>
      <c r="AC8" s="27" t="n">
        <v>85</v>
      </c>
      <c r="AD8" s="27" t="n">
        <v>85</v>
      </c>
      <c r="AE8" s="27" t="n">
        <v>85</v>
      </c>
      <c r="AF8" s="27" t="n">
        <v>85</v>
      </c>
      <c r="AG8" s="27" t="n">
        <v>85</v>
      </c>
      <c r="AH8" s="27" t="n">
        <v>85</v>
      </c>
      <c r="AI8" s="27" t="n">
        <v>85</v>
      </c>
      <c r="AJ8" s="27" t="n">
        <v>85</v>
      </c>
      <c r="AK8" s="27" t="n">
        <v>85</v>
      </c>
      <c r="AL8" s="19" t="n">
        <f aca="false">SUM(B8:AK8)</f>
        <v>2445</v>
      </c>
    </row>
    <row r="9" customFormat="false" ht="15" hidden="false" customHeight="true" outlineLevel="0" collapsed="false">
      <c r="A9" s="8" t="s">
        <v>310</v>
      </c>
      <c r="B9" s="27" t="n">
        <f aca="false">SUM(B7:B8)</f>
        <v>165.454545454545</v>
      </c>
      <c r="C9" s="19" t="n">
        <f aca="false">SUM(C7:C8)</f>
        <v>205.818181818182</v>
      </c>
      <c r="D9" s="19" t="n">
        <f aca="false">SUM(D7:D8)</f>
        <v>246.181818181818</v>
      </c>
      <c r="E9" s="19" t="n">
        <f aca="false">SUM(E7:E8)</f>
        <v>304.727272727273</v>
      </c>
      <c r="F9" s="19" t="n">
        <f aca="false">SUM(F7:F8)</f>
        <v>363.272727272727</v>
      </c>
      <c r="G9" s="19" t="n">
        <f aca="false">SUM(G7:G8)</f>
        <v>440</v>
      </c>
      <c r="H9" s="19" t="n">
        <f aca="false">SUM(H7:H8)</f>
        <v>499.545454545455</v>
      </c>
      <c r="I9" s="19" t="n">
        <f aca="false">SUM(I7:I8)</f>
        <v>559.090909090909</v>
      </c>
      <c r="J9" s="19" t="n">
        <f aca="false">SUM(J7:J8)</f>
        <v>600.454545454546</v>
      </c>
      <c r="K9" s="19" t="n">
        <f aca="false">SUM(K7:K8)</f>
        <v>641.818181818182</v>
      </c>
      <c r="L9" s="19" t="n">
        <f aca="false">SUM(L7:L8)</f>
        <v>683.181818181818</v>
      </c>
      <c r="M9" s="19" t="n">
        <f aca="false">SUM(M7:M8)</f>
        <v>724.545454545455</v>
      </c>
      <c r="N9" s="19" t="n">
        <f aca="false">SUM(N7:N8)</f>
        <v>765.909090909091</v>
      </c>
      <c r="O9" s="19" t="n">
        <f aca="false">SUM(O7:O8)</f>
        <v>765.909090909091</v>
      </c>
      <c r="P9" s="19" t="n">
        <f aca="false">SUM(P7:P8)</f>
        <v>765.909090909091</v>
      </c>
      <c r="Q9" s="19" t="n">
        <f aca="false">SUM(Q7:Q8)</f>
        <v>765.909090909091</v>
      </c>
      <c r="R9" s="19" t="n">
        <f aca="false">SUM(R7:R8)</f>
        <v>765.909090909091</v>
      </c>
      <c r="S9" s="19" t="n">
        <f aca="false">SUM(S7:S8)</f>
        <v>765.909090909091</v>
      </c>
      <c r="T9" s="19" t="n">
        <f aca="false">SUM(T7:T8)</f>
        <v>765.909090909091</v>
      </c>
      <c r="U9" s="19" t="n">
        <f aca="false">SUM(U7:U8)</f>
        <v>765.909090909091</v>
      </c>
      <c r="V9" s="19" t="n">
        <f aca="false">SUM(V7:V8)</f>
        <v>765.909090909091</v>
      </c>
      <c r="W9" s="19" t="n">
        <f aca="false">SUM(W7:W8)</f>
        <v>765.909090909091</v>
      </c>
      <c r="X9" s="19" t="n">
        <f aca="false">SUM(X7:X8)</f>
        <v>765.909090909091</v>
      </c>
      <c r="Y9" s="19" t="n">
        <f aca="false">SUM(Y7:Y8)</f>
        <v>765.909090909091</v>
      </c>
      <c r="Z9" s="19" t="n">
        <f aca="false">SUM(Z7:Z8)</f>
        <v>848.636363636364</v>
      </c>
      <c r="AA9" s="19" t="n">
        <f aca="false">SUM(AA7:AA8)</f>
        <v>848.636363636364</v>
      </c>
      <c r="AB9" s="19" t="n">
        <f aca="false">SUM(AB7:AB8)</f>
        <v>848.636363636364</v>
      </c>
      <c r="AC9" s="19" t="n">
        <f aca="false">SUM(AC7:AC8)</f>
        <v>848.636363636364</v>
      </c>
      <c r="AD9" s="19" t="n">
        <f aca="false">SUM(AD7:AD8)</f>
        <v>848.636363636364</v>
      </c>
      <c r="AE9" s="19" t="n">
        <f aca="false">SUM(AE7:AE8)</f>
        <v>848.636363636364</v>
      </c>
      <c r="AF9" s="19" t="n">
        <f aca="false">SUM(AF7:AF8)</f>
        <v>848.636363636364</v>
      </c>
      <c r="AG9" s="19" t="n">
        <f aca="false">SUM(AG7:AG8)</f>
        <v>848.636363636364</v>
      </c>
      <c r="AH9" s="19" t="n">
        <f aca="false">SUM(AH7:AH8)</f>
        <v>848.636363636364</v>
      </c>
      <c r="AI9" s="19" t="n">
        <f aca="false">SUM(AI7:AI8)</f>
        <v>848.636363636364</v>
      </c>
      <c r="AJ9" s="19" t="n">
        <f aca="false">SUM(AJ7:AJ8)</f>
        <v>848.636363636364</v>
      </c>
      <c r="AK9" s="19" t="n">
        <f aca="false">SUM(AK7:AK8)</f>
        <v>848.636363636364</v>
      </c>
      <c r="AL9" s="19" t="n">
        <f aca="false">SUM(B9:AK9)</f>
        <v>24808.6363636364</v>
      </c>
    </row>
    <row r="10" customFormat="false" ht="15" hidden="false" customHeight="true" outlineLevel="0" collapsed="false">
      <c r="A10" s="8" t="s">
        <v>311</v>
      </c>
      <c r="B10" s="28" t="n">
        <f aca="false">INDEX('Исходные данные'!$K$8:$K$29,MATCH("A15",'Исходные данные'!$J$8:$J$29,0))</f>
        <v>0.22</v>
      </c>
      <c r="C10" s="18" t="n">
        <f aca="false">INDEX('Исходные данные'!$K$8:$K$29,MATCH("A15",'Исходные данные'!$J$8:$J$29,0))</f>
        <v>0.22</v>
      </c>
      <c r="D10" s="18" t="n">
        <f aca="false">INDEX('Исходные данные'!$K$8:$K$29,MATCH("A15",'Исходные данные'!$J$8:$J$29,0))</f>
        <v>0.22</v>
      </c>
      <c r="E10" s="18" t="n">
        <f aca="false">INDEX('Исходные данные'!$K$8:$K$29,MATCH("A15",'Исходные данные'!$J$8:$J$29,0))</f>
        <v>0.22</v>
      </c>
      <c r="F10" s="18" t="n">
        <f aca="false">INDEX('Исходные данные'!$K$8:$K$29,MATCH("A15",'Исходные данные'!$J$8:$J$29,0))</f>
        <v>0.22</v>
      </c>
      <c r="G10" s="18" t="n">
        <f aca="false">INDEX('Исходные данные'!$K$8:$K$29,MATCH("A15",'Исходные данные'!$J$8:$J$29,0))</f>
        <v>0.22</v>
      </c>
      <c r="H10" s="18" t="n">
        <f aca="false">INDEX('Исходные данные'!$K$8:$K$29,MATCH("A15",'Исходные данные'!$J$8:$J$29,0))</f>
        <v>0.22</v>
      </c>
      <c r="I10" s="18" t="n">
        <f aca="false">INDEX('Исходные данные'!$K$8:$K$29,MATCH("A15",'Исходные данные'!$J$8:$J$29,0))</f>
        <v>0.22</v>
      </c>
      <c r="J10" s="18" t="n">
        <f aca="false">INDEX('Исходные данные'!$K$8:$K$29,MATCH("A15",'Исходные данные'!$J$8:$J$29,0))</f>
        <v>0.22</v>
      </c>
      <c r="K10" s="18" t="n">
        <f aca="false">INDEX('Исходные данные'!$K$8:$K$29,MATCH("A15",'Исходные данные'!$J$8:$J$29,0))</f>
        <v>0.22</v>
      </c>
      <c r="L10" s="18" t="n">
        <f aca="false">INDEX('Исходные данные'!$K$8:$K$29,MATCH("A15",'Исходные данные'!$J$8:$J$29,0))</f>
        <v>0.22</v>
      </c>
      <c r="M10" s="18" t="n">
        <f aca="false">INDEX('Исходные данные'!$K$8:$K$29,MATCH("A15",'Исходные данные'!$J$8:$J$29,0))</f>
        <v>0.22</v>
      </c>
      <c r="N10" s="18" t="n">
        <f aca="false">INDEX('Исходные данные'!$K$8:$K$29,MATCH("A15",'Исходные данные'!$J$8:$J$29,0))</f>
        <v>0.22</v>
      </c>
      <c r="O10" s="18" t="n">
        <f aca="false">INDEX('Исходные данные'!$K$8:$K$29,MATCH("A15",'Исходные данные'!$J$8:$J$29,0))</f>
        <v>0.22</v>
      </c>
      <c r="P10" s="18" t="n">
        <f aca="false">INDEX('Исходные данные'!$K$8:$K$29,MATCH("A15",'Исходные данные'!$J$8:$J$29,0))</f>
        <v>0.22</v>
      </c>
      <c r="Q10" s="18" t="n">
        <f aca="false">INDEX('Исходные данные'!$K$8:$K$29,MATCH("A15",'Исходные данные'!$J$8:$J$29,0))</f>
        <v>0.22</v>
      </c>
      <c r="R10" s="18" t="n">
        <f aca="false">INDEX('Исходные данные'!$K$8:$K$29,MATCH("A15",'Исходные данные'!$J$8:$J$29,0))</f>
        <v>0.22</v>
      </c>
      <c r="S10" s="18" t="n">
        <f aca="false">INDEX('Исходные данные'!$K$8:$K$29,MATCH("A15",'Исходные данные'!$J$8:$J$29,0))</f>
        <v>0.22</v>
      </c>
      <c r="T10" s="18" t="n">
        <f aca="false">INDEX('Исходные данные'!$K$8:$K$29,MATCH("A15",'Исходные данные'!$J$8:$J$29,0))</f>
        <v>0.22</v>
      </c>
      <c r="U10" s="18" t="n">
        <f aca="false">INDEX('Исходные данные'!$K$8:$K$29,MATCH("A15",'Исходные данные'!$J$8:$J$29,0))</f>
        <v>0.22</v>
      </c>
      <c r="V10" s="18" t="n">
        <f aca="false">INDEX('Исходные данные'!$K$8:$K$29,MATCH("A15",'Исходные данные'!$J$8:$J$29,0))</f>
        <v>0.22</v>
      </c>
      <c r="W10" s="18" t="n">
        <f aca="false">INDEX('Исходные данные'!$K$8:$K$29,MATCH("A15",'Исходные данные'!$J$8:$J$29,0))</f>
        <v>0.22</v>
      </c>
      <c r="X10" s="18" t="n">
        <f aca="false">INDEX('Исходные данные'!$K$8:$K$29,MATCH("A15",'Исходные данные'!$J$8:$J$29,0))</f>
        <v>0.22</v>
      </c>
      <c r="Y10" s="18" t="n">
        <f aca="false">INDEX('Исходные данные'!$K$8:$K$29,MATCH("A15",'Исходные данные'!$J$8:$J$29,0))</f>
        <v>0.22</v>
      </c>
      <c r="Z10" s="18" t="n">
        <f aca="false">INDEX('Исходные данные'!$K$8:$K$29,MATCH("A15",'Исходные данные'!$J$8:$J$29,0))</f>
        <v>0.22</v>
      </c>
      <c r="AA10" s="18" t="n">
        <f aca="false">INDEX('Исходные данные'!$K$8:$K$29,MATCH("A15",'Исходные данные'!$J$8:$J$29,0))</f>
        <v>0.22</v>
      </c>
      <c r="AB10" s="18" t="n">
        <f aca="false">INDEX('Исходные данные'!$K$8:$K$29,MATCH("A15",'Исходные данные'!$J$8:$J$29,0))</f>
        <v>0.22</v>
      </c>
      <c r="AC10" s="18" t="n">
        <f aca="false">INDEX('Исходные данные'!$K$8:$K$29,MATCH("A15",'Исходные данные'!$J$8:$J$29,0))</f>
        <v>0.22</v>
      </c>
      <c r="AD10" s="18" t="n">
        <f aca="false">INDEX('Исходные данные'!$K$8:$K$29,MATCH("A15",'Исходные данные'!$J$8:$J$29,0))</f>
        <v>0.22</v>
      </c>
      <c r="AE10" s="18" t="n">
        <f aca="false">INDEX('Исходные данные'!$K$8:$K$29,MATCH("A15",'Исходные данные'!$J$8:$J$29,0))</f>
        <v>0.22</v>
      </c>
      <c r="AF10" s="18" t="n">
        <f aca="false">INDEX('Исходные данные'!$K$8:$K$29,MATCH("A15",'Исходные данные'!$J$8:$J$29,0))</f>
        <v>0.22</v>
      </c>
      <c r="AG10" s="18" t="n">
        <f aca="false">INDEX('Исходные данные'!$K$8:$K$29,MATCH("A15",'Исходные данные'!$J$8:$J$29,0))</f>
        <v>0.22</v>
      </c>
      <c r="AH10" s="18" t="n">
        <f aca="false">INDEX('Исходные данные'!$K$8:$K$29,MATCH("A15",'Исходные данные'!$J$8:$J$29,0))</f>
        <v>0.22</v>
      </c>
      <c r="AI10" s="18" t="n">
        <f aca="false">INDEX('Исходные данные'!$K$8:$K$29,MATCH("A15",'Исходные данные'!$J$8:$J$29,0))</f>
        <v>0.22</v>
      </c>
      <c r="AJ10" s="18" t="n">
        <f aca="false">INDEX('Исходные данные'!$K$8:$K$29,MATCH("A15",'Исходные данные'!$J$8:$J$29,0))</f>
        <v>0.22</v>
      </c>
      <c r="AK10" s="18" t="n">
        <f aca="false">INDEX('Исходные данные'!$K$8:$K$29,MATCH("A15",'Исходные данные'!$J$8:$J$29,0))</f>
        <v>0.22</v>
      </c>
      <c r="AL10" s="18" t="n">
        <f aca="false">AVERAGE(B10:AK10)</f>
        <v>0.22</v>
      </c>
    </row>
    <row r="11" customFormat="false" ht="15" hidden="false" customHeight="true" outlineLevel="0" collapsed="false">
      <c r="A11" s="8" t="s">
        <v>312</v>
      </c>
      <c r="B11" s="27" t="n">
        <f aca="false">B9*B10</f>
        <v>36.4</v>
      </c>
      <c r="C11" s="19" t="n">
        <f aca="false">C9*C10</f>
        <v>45.28</v>
      </c>
      <c r="D11" s="19" t="n">
        <f aca="false">D9*D10</f>
        <v>54.16</v>
      </c>
      <c r="E11" s="19" t="n">
        <f aca="false">E9*E10</f>
        <v>67.04</v>
      </c>
      <c r="F11" s="19" t="n">
        <f aca="false">F9*F10</f>
        <v>79.92</v>
      </c>
      <c r="G11" s="19" t="n">
        <f aca="false">G9*G10</f>
        <v>96.8</v>
      </c>
      <c r="H11" s="19" t="n">
        <f aca="false">H9*H10</f>
        <v>109.9</v>
      </c>
      <c r="I11" s="19" t="n">
        <f aca="false">I9*I10</f>
        <v>123</v>
      </c>
      <c r="J11" s="19" t="n">
        <f aca="false">J9*J10</f>
        <v>132.1</v>
      </c>
      <c r="K11" s="19" t="n">
        <f aca="false">K9*K10</f>
        <v>141.2</v>
      </c>
      <c r="L11" s="19" t="n">
        <f aca="false">L9*L10</f>
        <v>150.3</v>
      </c>
      <c r="M11" s="19" t="n">
        <f aca="false">M9*M10</f>
        <v>159.4</v>
      </c>
      <c r="N11" s="19" t="n">
        <f aca="false">N9*N10</f>
        <v>168.5</v>
      </c>
      <c r="O11" s="19" t="n">
        <f aca="false">O9*O10</f>
        <v>168.5</v>
      </c>
      <c r="P11" s="19" t="n">
        <f aca="false">P9*P10</f>
        <v>168.5</v>
      </c>
      <c r="Q11" s="19" t="n">
        <f aca="false">Q9*Q10</f>
        <v>168.5</v>
      </c>
      <c r="R11" s="19" t="n">
        <f aca="false">R9*R10</f>
        <v>168.5</v>
      </c>
      <c r="S11" s="19" t="n">
        <f aca="false">S9*S10</f>
        <v>168.5</v>
      </c>
      <c r="T11" s="19" t="n">
        <f aca="false">T9*T10</f>
        <v>168.5</v>
      </c>
      <c r="U11" s="19" t="n">
        <f aca="false">U9*U10</f>
        <v>168.5</v>
      </c>
      <c r="V11" s="19" t="n">
        <f aca="false">V9*V10</f>
        <v>168.5</v>
      </c>
      <c r="W11" s="19" t="n">
        <f aca="false">W9*W10</f>
        <v>168.5</v>
      </c>
      <c r="X11" s="19" t="n">
        <f aca="false">X9*X10</f>
        <v>168.5</v>
      </c>
      <c r="Y11" s="19" t="n">
        <f aca="false">Y9*Y10</f>
        <v>168.5</v>
      </c>
      <c r="Z11" s="19" t="n">
        <f aca="false">Z9*Z10</f>
        <v>186.7</v>
      </c>
      <c r="AA11" s="19" t="n">
        <f aca="false">AA9*AA10</f>
        <v>186.7</v>
      </c>
      <c r="AB11" s="19" t="n">
        <f aca="false">AB9*AB10</f>
        <v>186.7</v>
      </c>
      <c r="AC11" s="19" t="n">
        <f aca="false">AC9*AC10</f>
        <v>186.7</v>
      </c>
      <c r="AD11" s="19" t="n">
        <f aca="false">AD9*AD10</f>
        <v>186.7</v>
      </c>
      <c r="AE11" s="19" t="n">
        <f aca="false">AE9*AE10</f>
        <v>186.7</v>
      </c>
      <c r="AF11" s="19" t="n">
        <f aca="false">AF9*AF10</f>
        <v>186.7</v>
      </c>
      <c r="AG11" s="19" t="n">
        <f aca="false">AG9*AG10</f>
        <v>186.7</v>
      </c>
      <c r="AH11" s="19" t="n">
        <f aca="false">AH9*AH10</f>
        <v>186.7</v>
      </c>
      <c r="AI11" s="19" t="n">
        <f aca="false">AI9*AI10</f>
        <v>186.7</v>
      </c>
      <c r="AJ11" s="19" t="n">
        <f aca="false">AJ9*AJ10</f>
        <v>186.7</v>
      </c>
      <c r="AK11" s="19" t="n">
        <f aca="false">AK9*AK10</f>
        <v>186.7</v>
      </c>
      <c r="AL11" s="19" t="n">
        <f aca="false">SUM(B11:AK11)</f>
        <v>5457.9</v>
      </c>
    </row>
    <row r="12" customFormat="false" ht="15" hidden="false" customHeight="true" outlineLevel="0" collapsed="false">
      <c r="A12" s="8" t="s">
        <v>313</v>
      </c>
      <c r="B12" s="26" t="n">
        <f aca="false">B5/B11</f>
        <v>21.978021978022</v>
      </c>
      <c r="C12" s="17" t="n">
        <f aca="false">C5/C11</f>
        <v>22.0848056537102</v>
      </c>
      <c r="D12" s="17" t="n">
        <f aca="false">D5/D11</f>
        <v>22.1565731166913</v>
      </c>
      <c r="E12" s="17" t="n">
        <f aca="false">E5/E11</f>
        <v>22.3747016706444</v>
      </c>
      <c r="F12" s="17" t="n">
        <f aca="false">F5/F11</f>
        <v>22.5225225225225</v>
      </c>
      <c r="G12" s="17" t="n">
        <f aca="false">G5/G11</f>
        <v>22.7272727272727</v>
      </c>
      <c r="H12" s="17" t="n">
        <f aca="false">H5/H11</f>
        <v>22.7479526842584</v>
      </c>
      <c r="I12" s="17" t="n">
        <f aca="false">I5/I11</f>
        <v>22.7642276422764</v>
      </c>
      <c r="J12" s="17" t="n">
        <f aca="false">J5/J11</f>
        <v>22.7100681302044</v>
      </c>
      <c r="K12" s="17" t="n">
        <f aca="false">K5/K11</f>
        <v>22.6628895184136</v>
      </c>
      <c r="L12" s="17" t="n">
        <f aca="false">L5/L11</f>
        <v>22.6214238190286</v>
      </c>
      <c r="M12" s="17" t="n">
        <f aca="false">M5/M11</f>
        <v>22.5846925972397</v>
      </c>
      <c r="N12" s="17" t="n">
        <f aca="false">N5/N11</f>
        <v>22.5519287833828</v>
      </c>
      <c r="O12" s="17" t="n">
        <f aca="false">O5/O11</f>
        <v>22.5519287833828</v>
      </c>
      <c r="P12" s="17" t="n">
        <f aca="false">P5/P11</f>
        <v>22.5519287833828</v>
      </c>
      <c r="Q12" s="17" t="n">
        <f aca="false">Q5/Q11</f>
        <v>22.5519287833828</v>
      </c>
      <c r="R12" s="17" t="n">
        <f aca="false">R5/R11</f>
        <v>22.5519287833828</v>
      </c>
      <c r="S12" s="17" t="n">
        <f aca="false">S5/S11</f>
        <v>22.5519287833828</v>
      </c>
      <c r="T12" s="17" t="n">
        <f aca="false">T5/T11</f>
        <v>22.5519287833828</v>
      </c>
      <c r="U12" s="17" t="n">
        <f aca="false">U5/U11</f>
        <v>22.5519287833828</v>
      </c>
      <c r="V12" s="17" t="n">
        <f aca="false">V5/V11</f>
        <v>22.5519287833828</v>
      </c>
      <c r="W12" s="17" t="n">
        <f aca="false">W5/W11</f>
        <v>22.5519287833828</v>
      </c>
      <c r="X12" s="17" t="n">
        <f aca="false">X5/X11</f>
        <v>22.5519287833828</v>
      </c>
      <c r="Y12" s="17" t="n">
        <f aca="false">Y5/Y11</f>
        <v>22.5519287833828</v>
      </c>
      <c r="Z12" s="17" t="n">
        <f aca="false">Z5/Z11</f>
        <v>22.4959828602035</v>
      </c>
      <c r="AA12" s="17" t="n">
        <f aca="false">AA5/AA11</f>
        <v>22.4959828602035</v>
      </c>
      <c r="AB12" s="17" t="n">
        <f aca="false">AB5/AB11</f>
        <v>22.4959828602035</v>
      </c>
      <c r="AC12" s="17" t="n">
        <f aca="false">AC5/AC11</f>
        <v>22.4959828602035</v>
      </c>
      <c r="AD12" s="17" t="n">
        <f aca="false">AD5/AD11</f>
        <v>22.4959828602035</v>
      </c>
      <c r="AE12" s="17" t="n">
        <f aca="false">AE5/AE11</f>
        <v>22.4959828602035</v>
      </c>
      <c r="AF12" s="17" t="n">
        <f aca="false">AF5/AF11</f>
        <v>22.4959828602035</v>
      </c>
      <c r="AG12" s="17" t="n">
        <f aca="false">AG5/AG11</f>
        <v>22.4959828602035</v>
      </c>
      <c r="AH12" s="17" t="n">
        <f aca="false">AH5/AH11</f>
        <v>22.4959828602035</v>
      </c>
      <c r="AI12" s="17" t="n">
        <f aca="false">AI5/AI11</f>
        <v>22.4959828602035</v>
      </c>
      <c r="AJ12" s="17" t="n">
        <f aca="false">AJ5/AJ11</f>
        <v>22.4959828602035</v>
      </c>
      <c r="AK12" s="17" t="n">
        <f aca="false">AK5/AK11</f>
        <v>22.4959828602035</v>
      </c>
      <c r="AL12" s="17" t="n">
        <f aca="false">AVERAGE(B12:AK12)</f>
        <v>22.5141692162033</v>
      </c>
    </row>
    <row r="13" customFormat="false" ht="15" hidden="false" customHeight="true" outlineLevel="0" collapsed="false">
      <c r="A13" s="8" t="s">
        <v>314</v>
      </c>
      <c r="B13" s="28" t="n">
        <f aca="false">INDEX('Исходные данные'!$K$8:$K$29,MATCH("A16",'Исходные данные'!$J$8:$J$29,0))</f>
        <v>0.4</v>
      </c>
      <c r="C13" s="18" t="n">
        <f aca="false">INDEX('Исходные данные'!$K$8:$K$29,MATCH("A16",'Исходные данные'!$J$8:$J$29,0))</f>
        <v>0.4</v>
      </c>
      <c r="D13" s="18" t="n">
        <f aca="false">INDEX('Исходные данные'!$K$8:$K$29,MATCH("A16",'Исходные данные'!$J$8:$J$29,0))</f>
        <v>0.4</v>
      </c>
      <c r="E13" s="18" t="n">
        <f aca="false">INDEX('Исходные данные'!$K$8:$K$29,MATCH("A16",'Исходные данные'!$J$8:$J$29,0))</f>
        <v>0.4</v>
      </c>
      <c r="F13" s="18" t="n">
        <f aca="false">INDEX('Исходные данные'!$K$8:$K$29,MATCH("A16",'Исходные данные'!$J$8:$J$29,0))</f>
        <v>0.4</v>
      </c>
      <c r="G13" s="18" t="n">
        <f aca="false">INDEX('Исходные данные'!$K$8:$K$29,MATCH("A16",'Исходные данные'!$J$8:$J$29,0))</f>
        <v>0.4</v>
      </c>
      <c r="H13" s="18" t="n">
        <f aca="false">INDEX('Исходные данные'!$K$8:$K$29,MATCH("A16",'Исходные данные'!$J$8:$J$29,0))</f>
        <v>0.4</v>
      </c>
      <c r="I13" s="18" t="n">
        <f aca="false">INDEX('Исходные данные'!$K$8:$K$29,MATCH("A16",'Исходные данные'!$J$8:$J$29,0))</f>
        <v>0.4</v>
      </c>
      <c r="J13" s="18" t="n">
        <f aca="false">INDEX('Исходные данные'!$K$8:$K$29,MATCH("A16",'Исходные данные'!$J$8:$J$29,0))</f>
        <v>0.4</v>
      </c>
      <c r="K13" s="18" t="n">
        <f aca="false">INDEX('Исходные данные'!$K$8:$K$29,MATCH("A16",'Исходные данные'!$J$8:$J$29,0))</f>
        <v>0.4</v>
      </c>
      <c r="L13" s="18" t="n">
        <f aca="false">INDEX('Исходные данные'!$K$8:$K$29,MATCH("A16",'Исходные данные'!$J$8:$J$29,0))</f>
        <v>0.4</v>
      </c>
      <c r="M13" s="18" t="n">
        <f aca="false">INDEX('Исходные данные'!$K$8:$K$29,MATCH("A16",'Исходные данные'!$J$8:$J$29,0))</f>
        <v>0.4</v>
      </c>
      <c r="N13" s="18" t="n">
        <f aca="false">INDEX('Исходные данные'!$K$8:$K$29,MATCH("A16",'Исходные данные'!$J$8:$J$29,0))</f>
        <v>0.4</v>
      </c>
      <c r="O13" s="18" t="n">
        <f aca="false">INDEX('Исходные данные'!$K$8:$K$29,MATCH("A16",'Исходные данные'!$J$8:$J$29,0))</f>
        <v>0.4</v>
      </c>
      <c r="P13" s="18" t="n">
        <f aca="false">INDEX('Исходные данные'!$K$8:$K$29,MATCH("A16",'Исходные данные'!$J$8:$J$29,0))</f>
        <v>0.4</v>
      </c>
      <c r="Q13" s="18" t="n">
        <f aca="false">INDEX('Исходные данные'!$K$8:$K$29,MATCH("A16",'Исходные данные'!$J$8:$J$29,0))</f>
        <v>0.4</v>
      </c>
      <c r="R13" s="18" t="n">
        <f aca="false">INDEX('Исходные данные'!$K$8:$K$29,MATCH("A16",'Исходные данные'!$J$8:$J$29,0))</f>
        <v>0.4</v>
      </c>
      <c r="S13" s="18" t="n">
        <f aca="false">INDEX('Исходные данные'!$K$8:$K$29,MATCH("A16",'Исходные данные'!$J$8:$J$29,0))</f>
        <v>0.4</v>
      </c>
      <c r="T13" s="18" t="n">
        <f aca="false">INDEX('Исходные данные'!$K$8:$K$29,MATCH("A16",'Исходные данные'!$J$8:$J$29,0))</f>
        <v>0.4</v>
      </c>
      <c r="U13" s="18" t="n">
        <f aca="false">INDEX('Исходные данные'!$K$8:$K$29,MATCH("A16",'Исходные данные'!$J$8:$J$29,0))</f>
        <v>0.4</v>
      </c>
      <c r="V13" s="18" t="n">
        <f aca="false">INDEX('Исходные данные'!$K$8:$K$29,MATCH("A16",'Исходные данные'!$J$8:$J$29,0))</f>
        <v>0.4</v>
      </c>
      <c r="W13" s="18" t="n">
        <f aca="false">INDEX('Исходные данные'!$K$8:$K$29,MATCH("A16",'Исходные данные'!$J$8:$J$29,0))</f>
        <v>0.4</v>
      </c>
      <c r="X13" s="18" t="n">
        <f aca="false">INDEX('Исходные данные'!$K$8:$K$29,MATCH("A16",'Исходные данные'!$J$8:$J$29,0))</f>
        <v>0.4</v>
      </c>
      <c r="Y13" s="18" t="n">
        <f aca="false">INDEX('Исходные данные'!$K$8:$K$29,MATCH("A16",'Исходные данные'!$J$8:$J$29,0))</f>
        <v>0.4</v>
      </c>
      <c r="Z13" s="18" t="n">
        <f aca="false">INDEX('Исходные данные'!$K$8:$K$29,MATCH("A16",'Исходные данные'!$J$8:$J$29,0))</f>
        <v>0.4</v>
      </c>
      <c r="AA13" s="18" t="n">
        <f aca="false">INDEX('Исходные данные'!$K$8:$K$29,MATCH("A16",'Исходные данные'!$J$8:$J$29,0))</f>
        <v>0.4</v>
      </c>
      <c r="AB13" s="18" t="n">
        <f aca="false">INDEX('Исходные данные'!$K$8:$K$29,MATCH("A16",'Исходные данные'!$J$8:$J$29,0))</f>
        <v>0.4</v>
      </c>
      <c r="AC13" s="18" t="n">
        <f aca="false">INDEX('Исходные данные'!$K$8:$K$29,MATCH("A16",'Исходные данные'!$J$8:$J$29,0))</f>
        <v>0.4</v>
      </c>
      <c r="AD13" s="18" t="n">
        <f aca="false">INDEX('Исходные данные'!$K$8:$K$29,MATCH("A16",'Исходные данные'!$J$8:$J$29,0))</f>
        <v>0.4</v>
      </c>
      <c r="AE13" s="18" t="n">
        <f aca="false">INDEX('Исходные данные'!$K$8:$K$29,MATCH("A16",'Исходные данные'!$J$8:$J$29,0))</f>
        <v>0.4</v>
      </c>
      <c r="AF13" s="18" t="n">
        <f aca="false">INDEX('Исходные данные'!$K$8:$K$29,MATCH("A16",'Исходные данные'!$J$8:$J$29,0))</f>
        <v>0.4</v>
      </c>
      <c r="AG13" s="18" t="n">
        <f aca="false">INDEX('Исходные данные'!$K$8:$K$29,MATCH("A16",'Исходные данные'!$J$8:$J$29,0))</f>
        <v>0.4</v>
      </c>
      <c r="AH13" s="18" t="n">
        <f aca="false">INDEX('Исходные данные'!$K$8:$K$29,MATCH("A16",'Исходные данные'!$J$8:$J$29,0))</f>
        <v>0.4</v>
      </c>
      <c r="AI13" s="18" t="n">
        <f aca="false">INDEX('Исходные данные'!$K$8:$K$29,MATCH("A16",'Исходные данные'!$J$8:$J$29,0))</f>
        <v>0.4</v>
      </c>
      <c r="AJ13" s="18" t="n">
        <f aca="false">INDEX('Исходные данные'!$K$8:$K$29,MATCH("A16",'Исходные данные'!$J$8:$J$29,0))</f>
        <v>0.4</v>
      </c>
      <c r="AK13" s="18" t="n">
        <f aca="false">INDEX('Исходные данные'!$K$8:$K$29,MATCH("A16",'Исходные данные'!$J$8:$J$29,0))</f>
        <v>0.4</v>
      </c>
      <c r="AL13" s="18" t="n">
        <f aca="false">AVERAGE(B13:AK13)</f>
        <v>0.4</v>
      </c>
    </row>
    <row r="14" customFormat="false" ht="15" hidden="false" customHeight="true" outlineLevel="0" collapsed="false">
      <c r="A14" s="8" t="s">
        <v>315</v>
      </c>
      <c r="B14" s="28" t="n">
        <f aca="false">INDEX('Исходные данные'!$K$8:$K$29,MATCH("A17",'Исходные данные'!$J$8:$J$29,0))</f>
        <v>0.25</v>
      </c>
      <c r="C14" s="18" t="n">
        <f aca="false">INDEX('Исходные данные'!$K$8:$K$29,MATCH("A17",'Исходные данные'!$J$8:$J$29,0))</f>
        <v>0.25</v>
      </c>
      <c r="D14" s="18" t="n">
        <f aca="false">INDEX('Исходные данные'!$K$8:$K$29,MATCH("A17",'Исходные данные'!$J$8:$J$29,0))</f>
        <v>0.25</v>
      </c>
      <c r="E14" s="18" t="n">
        <f aca="false">INDEX('Исходные данные'!$K$8:$K$29,MATCH("A17",'Исходные данные'!$J$8:$J$29,0))</f>
        <v>0.25</v>
      </c>
      <c r="F14" s="18" t="n">
        <f aca="false">INDEX('Исходные данные'!$K$8:$K$29,MATCH("A17",'Исходные данные'!$J$8:$J$29,0))</f>
        <v>0.25</v>
      </c>
      <c r="G14" s="18" t="n">
        <f aca="false">INDEX('Исходные данные'!$K$8:$K$29,MATCH("A17",'Исходные данные'!$J$8:$J$29,0))</f>
        <v>0.25</v>
      </c>
      <c r="H14" s="18" t="n">
        <f aca="false">INDEX('Исходные данные'!$K$8:$K$29,MATCH("A17",'Исходные данные'!$J$8:$J$29,0))</f>
        <v>0.25</v>
      </c>
      <c r="I14" s="18" t="n">
        <f aca="false">INDEX('Исходные данные'!$K$8:$K$29,MATCH("A17",'Исходные данные'!$J$8:$J$29,0))</f>
        <v>0.25</v>
      </c>
      <c r="J14" s="18" t="n">
        <f aca="false">INDEX('Исходные данные'!$K$8:$K$29,MATCH("A17",'Исходные данные'!$J$8:$J$29,0))</f>
        <v>0.25</v>
      </c>
      <c r="K14" s="18" t="n">
        <f aca="false">INDEX('Исходные данные'!$K$8:$K$29,MATCH("A17",'Исходные данные'!$J$8:$J$29,0))</f>
        <v>0.25</v>
      </c>
      <c r="L14" s="18" t="n">
        <f aca="false">INDEX('Исходные данные'!$K$8:$K$29,MATCH("A17",'Исходные данные'!$J$8:$J$29,0))</f>
        <v>0.25</v>
      </c>
      <c r="M14" s="18" t="n">
        <f aca="false">INDEX('Исходные данные'!$K$8:$K$29,MATCH("A17",'Исходные данные'!$J$8:$J$29,0))</f>
        <v>0.25</v>
      </c>
      <c r="N14" s="18" t="n">
        <f aca="false">INDEX('Исходные данные'!$K$8:$K$29,MATCH("A17",'Исходные данные'!$J$8:$J$29,0))</f>
        <v>0.25</v>
      </c>
      <c r="O14" s="18" t="n">
        <f aca="false">INDEX('Исходные данные'!$K$8:$K$29,MATCH("A17",'Исходные данные'!$J$8:$J$29,0))</f>
        <v>0.25</v>
      </c>
      <c r="P14" s="18" t="n">
        <f aca="false">INDEX('Исходные данные'!$K$8:$K$29,MATCH("A17",'Исходные данные'!$J$8:$J$29,0))</f>
        <v>0.25</v>
      </c>
      <c r="Q14" s="18" t="n">
        <f aca="false">INDEX('Исходные данные'!$K$8:$K$29,MATCH("A17",'Исходные данные'!$J$8:$J$29,0))</f>
        <v>0.25</v>
      </c>
      <c r="R14" s="18" t="n">
        <f aca="false">INDEX('Исходные данные'!$K$8:$K$29,MATCH("A17",'Исходные данные'!$J$8:$J$29,0))</f>
        <v>0.25</v>
      </c>
      <c r="S14" s="18" t="n">
        <f aca="false">INDEX('Исходные данные'!$K$8:$K$29,MATCH("A17",'Исходные данные'!$J$8:$J$29,0))</f>
        <v>0.25</v>
      </c>
      <c r="T14" s="18" t="n">
        <f aca="false">INDEX('Исходные данные'!$K$8:$K$29,MATCH("A17",'Исходные данные'!$J$8:$J$29,0))</f>
        <v>0.25</v>
      </c>
      <c r="U14" s="18" t="n">
        <f aca="false">INDEX('Исходные данные'!$K$8:$K$29,MATCH("A17",'Исходные данные'!$J$8:$J$29,0))</f>
        <v>0.25</v>
      </c>
      <c r="V14" s="18" t="n">
        <f aca="false">INDEX('Исходные данные'!$K$8:$K$29,MATCH("A17",'Исходные данные'!$J$8:$J$29,0))</f>
        <v>0.25</v>
      </c>
      <c r="W14" s="18" t="n">
        <f aca="false">INDEX('Исходные данные'!$K$8:$K$29,MATCH("A17",'Исходные данные'!$J$8:$J$29,0))</f>
        <v>0.25</v>
      </c>
      <c r="X14" s="18" t="n">
        <f aca="false">INDEX('Исходные данные'!$K$8:$K$29,MATCH("A17",'Исходные данные'!$J$8:$J$29,0))</f>
        <v>0.25</v>
      </c>
      <c r="Y14" s="18" t="n">
        <f aca="false">INDEX('Исходные данные'!$K$8:$K$29,MATCH("A17",'Исходные данные'!$J$8:$J$29,0))</f>
        <v>0.25</v>
      </c>
      <c r="Z14" s="18" t="n">
        <f aca="false">INDEX('Исходные данные'!$K$8:$K$29,MATCH("A17",'Исходные данные'!$J$8:$J$29,0))</f>
        <v>0.25</v>
      </c>
      <c r="AA14" s="18" t="n">
        <f aca="false">INDEX('Исходные данные'!$K$8:$K$29,MATCH("A17",'Исходные данные'!$J$8:$J$29,0))</f>
        <v>0.25</v>
      </c>
      <c r="AB14" s="18" t="n">
        <f aca="false">INDEX('Исходные данные'!$K$8:$K$29,MATCH("A17",'Исходные данные'!$J$8:$J$29,0))</f>
        <v>0.25</v>
      </c>
      <c r="AC14" s="18" t="n">
        <f aca="false">INDEX('Исходные данные'!$K$8:$K$29,MATCH("A17",'Исходные данные'!$J$8:$J$29,0))</f>
        <v>0.25</v>
      </c>
      <c r="AD14" s="18" t="n">
        <f aca="false">INDEX('Исходные данные'!$K$8:$K$29,MATCH("A17",'Исходные данные'!$J$8:$J$29,0))</f>
        <v>0.25</v>
      </c>
      <c r="AE14" s="18" t="n">
        <f aca="false">INDEX('Исходные данные'!$K$8:$K$29,MATCH("A17",'Исходные данные'!$J$8:$J$29,0))</f>
        <v>0.25</v>
      </c>
      <c r="AF14" s="18" t="n">
        <f aca="false">INDEX('Исходные данные'!$K$8:$K$29,MATCH("A17",'Исходные данные'!$J$8:$J$29,0))</f>
        <v>0.25</v>
      </c>
      <c r="AG14" s="18" t="n">
        <f aca="false">INDEX('Исходные данные'!$K$8:$K$29,MATCH("A17",'Исходные данные'!$J$8:$J$29,0))</f>
        <v>0.25</v>
      </c>
      <c r="AH14" s="18" t="n">
        <f aca="false">INDEX('Исходные данные'!$K$8:$K$29,MATCH("A17",'Исходные данные'!$J$8:$J$29,0))</f>
        <v>0.25</v>
      </c>
      <c r="AI14" s="18" t="n">
        <f aca="false">INDEX('Исходные данные'!$K$8:$K$29,MATCH("A17",'Исходные данные'!$J$8:$J$29,0))</f>
        <v>0.25</v>
      </c>
      <c r="AJ14" s="18" t="n">
        <f aca="false">INDEX('Исходные данные'!$K$8:$K$29,MATCH("A17",'Исходные данные'!$J$8:$J$29,0))</f>
        <v>0.25</v>
      </c>
      <c r="AK14" s="18" t="n">
        <f aca="false">INDEX('Исходные данные'!$K$8:$K$29,MATCH("A17",'Исходные данные'!$J$8:$J$29,0))</f>
        <v>0.25</v>
      </c>
      <c r="AL14" s="18" t="n">
        <f aca="false">AVERAGE(B14:AK14)</f>
        <v>0.25</v>
      </c>
    </row>
    <row r="15" customFormat="false" ht="15" hidden="false" customHeight="true" outlineLevel="0" collapsed="false">
      <c r="A15" s="8" t="s">
        <v>79</v>
      </c>
      <c r="B15" s="28" t="n">
        <f aca="false">INDEX('Исходные данные'!$K$8:$K$29,MATCH("A18",'Исходные данные'!$J$8:$J$29,0))</f>
        <v>0.15</v>
      </c>
      <c r="C15" s="18" t="n">
        <f aca="false">INDEX('Исходные данные'!$K$8:$K$29,MATCH("A18",'Исходные данные'!$J$8:$J$29,0))</f>
        <v>0.15</v>
      </c>
      <c r="D15" s="18" t="n">
        <f aca="false">INDEX('Исходные данные'!$K$8:$K$29,MATCH("A18",'Исходные данные'!$J$8:$J$29,0))</f>
        <v>0.15</v>
      </c>
      <c r="E15" s="18" t="n">
        <f aca="false">INDEX('Исходные данные'!$K$8:$K$29,MATCH("A18",'Исходные данные'!$J$8:$J$29,0))</f>
        <v>0.15</v>
      </c>
      <c r="F15" s="18" t="n">
        <f aca="false">INDEX('Исходные данные'!$K$8:$K$29,MATCH("A18",'Исходные данные'!$J$8:$J$29,0))</f>
        <v>0.15</v>
      </c>
      <c r="G15" s="18" t="n">
        <f aca="false">INDEX('Исходные данные'!$K$8:$K$29,MATCH("A18",'Исходные данные'!$J$8:$J$29,0))</f>
        <v>0.15</v>
      </c>
      <c r="H15" s="18" t="n">
        <f aca="false">INDEX('Исходные данные'!$K$8:$K$29,MATCH("A18",'Исходные данные'!$J$8:$J$29,0))</f>
        <v>0.15</v>
      </c>
      <c r="I15" s="18" t="n">
        <f aca="false">INDEX('Исходные данные'!$K$8:$K$29,MATCH("A18",'Исходные данные'!$J$8:$J$29,0))</f>
        <v>0.15</v>
      </c>
      <c r="J15" s="18" t="n">
        <f aca="false">INDEX('Исходные данные'!$K$8:$K$29,MATCH("A18",'Исходные данные'!$J$8:$J$29,0))</f>
        <v>0.15</v>
      </c>
      <c r="K15" s="18" t="n">
        <f aca="false">INDEX('Исходные данные'!$K$8:$K$29,MATCH("A18",'Исходные данные'!$J$8:$J$29,0))</f>
        <v>0.15</v>
      </c>
      <c r="L15" s="18" t="n">
        <f aca="false">INDEX('Исходные данные'!$K$8:$K$29,MATCH("A18",'Исходные данные'!$J$8:$J$29,0))</f>
        <v>0.15</v>
      </c>
      <c r="M15" s="18" t="n">
        <f aca="false">INDEX('Исходные данные'!$K$8:$K$29,MATCH("A18",'Исходные данные'!$J$8:$J$29,0))</f>
        <v>0.15</v>
      </c>
      <c r="N15" s="18" t="n">
        <f aca="false">INDEX('Исходные данные'!$K$8:$K$29,MATCH("A18",'Исходные данные'!$J$8:$J$29,0))</f>
        <v>0.15</v>
      </c>
      <c r="O15" s="18" t="n">
        <f aca="false">INDEX('Исходные данные'!$K$8:$K$29,MATCH("A18",'Исходные данные'!$J$8:$J$29,0))</f>
        <v>0.15</v>
      </c>
      <c r="P15" s="18" t="n">
        <f aca="false">INDEX('Исходные данные'!$K$8:$K$29,MATCH("A18",'Исходные данные'!$J$8:$J$29,0))</f>
        <v>0.15</v>
      </c>
      <c r="Q15" s="18" t="n">
        <f aca="false">INDEX('Исходные данные'!$K$8:$K$29,MATCH("A18",'Исходные данные'!$J$8:$J$29,0))</f>
        <v>0.15</v>
      </c>
      <c r="R15" s="18" t="n">
        <f aca="false">INDEX('Исходные данные'!$K$8:$K$29,MATCH("A18",'Исходные данные'!$J$8:$J$29,0))</f>
        <v>0.15</v>
      </c>
      <c r="S15" s="18" t="n">
        <f aca="false">INDEX('Исходные данные'!$K$8:$K$29,MATCH("A18",'Исходные данные'!$J$8:$J$29,0))</f>
        <v>0.15</v>
      </c>
      <c r="T15" s="18" t="n">
        <f aca="false">INDEX('Исходные данные'!$K$8:$K$29,MATCH("A18",'Исходные данные'!$J$8:$J$29,0))</f>
        <v>0.15</v>
      </c>
      <c r="U15" s="18" t="n">
        <f aca="false">INDEX('Исходные данные'!$K$8:$K$29,MATCH("A18",'Исходные данные'!$J$8:$J$29,0))</f>
        <v>0.15</v>
      </c>
      <c r="V15" s="18" t="n">
        <f aca="false">INDEX('Исходные данные'!$K$8:$K$29,MATCH("A18",'Исходные данные'!$J$8:$J$29,0))</f>
        <v>0.15</v>
      </c>
      <c r="W15" s="18" t="n">
        <f aca="false">INDEX('Исходные данные'!$K$8:$K$29,MATCH("A18",'Исходные данные'!$J$8:$J$29,0))</f>
        <v>0.15</v>
      </c>
      <c r="X15" s="18" t="n">
        <f aca="false">INDEX('Исходные данные'!$K$8:$K$29,MATCH("A18",'Исходные данные'!$J$8:$J$29,0))</f>
        <v>0.15</v>
      </c>
      <c r="Y15" s="18" t="n">
        <f aca="false">INDEX('Исходные данные'!$K$8:$K$29,MATCH("A18",'Исходные данные'!$J$8:$J$29,0))</f>
        <v>0.15</v>
      </c>
      <c r="Z15" s="18" t="n">
        <f aca="false">INDEX('Исходные данные'!$K$8:$K$29,MATCH("A18",'Исходные данные'!$J$8:$J$29,0))</f>
        <v>0.15</v>
      </c>
      <c r="AA15" s="18" t="n">
        <f aca="false">INDEX('Исходные данные'!$K$8:$K$29,MATCH("A18",'Исходные данные'!$J$8:$J$29,0))</f>
        <v>0.15</v>
      </c>
      <c r="AB15" s="18" t="n">
        <f aca="false">INDEX('Исходные данные'!$K$8:$K$29,MATCH("A18",'Исходные данные'!$J$8:$J$29,0))</f>
        <v>0.15</v>
      </c>
      <c r="AC15" s="18" t="n">
        <f aca="false">INDEX('Исходные данные'!$K$8:$K$29,MATCH("A18",'Исходные данные'!$J$8:$J$29,0))</f>
        <v>0.15</v>
      </c>
      <c r="AD15" s="18" t="n">
        <f aca="false">INDEX('Исходные данные'!$K$8:$K$29,MATCH("A18",'Исходные данные'!$J$8:$J$29,0))</f>
        <v>0.15</v>
      </c>
      <c r="AE15" s="18" t="n">
        <f aca="false">INDEX('Исходные данные'!$K$8:$K$29,MATCH("A18",'Исходные данные'!$J$8:$J$29,0))</f>
        <v>0.15</v>
      </c>
      <c r="AF15" s="18" t="n">
        <f aca="false">INDEX('Исходные данные'!$K$8:$K$29,MATCH("A18",'Исходные данные'!$J$8:$J$29,0))</f>
        <v>0.15</v>
      </c>
      <c r="AG15" s="18" t="n">
        <f aca="false">INDEX('Исходные данные'!$K$8:$K$29,MATCH("A18",'Исходные данные'!$J$8:$J$29,0))</f>
        <v>0.15</v>
      </c>
      <c r="AH15" s="18" t="n">
        <f aca="false">INDEX('Исходные данные'!$K$8:$K$29,MATCH("A18",'Исходные данные'!$J$8:$J$29,0))</f>
        <v>0.15</v>
      </c>
      <c r="AI15" s="18" t="n">
        <f aca="false">INDEX('Исходные данные'!$K$8:$K$29,MATCH("A18",'Исходные данные'!$J$8:$J$29,0))</f>
        <v>0.15</v>
      </c>
      <c r="AJ15" s="18" t="n">
        <f aca="false">INDEX('Исходные данные'!$K$8:$K$29,MATCH("A18",'Исходные данные'!$J$8:$J$29,0))</f>
        <v>0.15</v>
      </c>
      <c r="AK15" s="18" t="n">
        <f aca="false">INDEX('Исходные данные'!$K$8:$K$29,MATCH("A18",'Исходные данные'!$J$8:$J$29,0))</f>
        <v>0.15</v>
      </c>
      <c r="AL15" s="18" t="n">
        <f aca="false">AVERAGE(B15:AK15)</f>
        <v>0.15</v>
      </c>
    </row>
    <row r="16" customFormat="false" ht="15" hidden="false" customHeight="true" outlineLevel="0" collapsed="false">
      <c r="A16" s="8" t="s">
        <v>316</v>
      </c>
      <c r="B16" s="27" t="n">
        <f aca="false">B11</f>
        <v>36.4</v>
      </c>
      <c r="C16" s="19" t="n">
        <f aca="false">C11+B11*C13</f>
        <v>59.84</v>
      </c>
      <c r="D16" s="19" t="n">
        <f aca="false">D11+C11*D13+B11*D14</f>
        <v>81.372</v>
      </c>
      <c r="E16" s="19" t="n">
        <f aca="false">E11+D11*E13+C11*E14+SUM(B11)*E15</f>
        <v>105.484</v>
      </c>
      <c r="F16" s="19" t="n">
        <f aca="false">F11+E11*F13+D11*F14+SUM(B11,C11)*F15</f>
        <v>132.528</v>
      </c>
      <c r="G16" s="19" t="n">
        <f aca="false">G11+F11*G13+E11*G14+SUM(B11,C11,D11)*G15</f>
        <v>165.904</v>
      </c>
      <c r="H16" s="19" t="n">
        <f aca="false">H11+G11*H13+F11*H14+SUM(B11,C11,D11,E11)*H15</f>
        <v>199.032</v>
      </c>
      <c r="I16" s="19" t="n">
        <f aca="false">I11+H11*I13+G11*I14+SUM(B11,C11,D11,E11,F11)*I15</f>
        <v>233.58</v>
      </c>
      <c r="J16" s="19" t="n">
        <f aca="false">J11+I11*J13+H11*J14+SUM(B11,C11,D11,E11,F11,G11)*J15</f>
        <v>265.715</v>
      </c>
      <c r="K16" s="19" t="n">
        <f aca="false">K11+J11*K13+I11*K14+SUM(B11,C11,D11,E11,F11,G11,H11)*K15</f>
        <v>298.215</v>
      </c>
      <c r="L16" s="19" t="n">
        <f aca="false">L11+K11*L13+J11*L14+SUM(B11,C11,D11,E11,F11,G11,H11,I11)*L15</f>
        <v>331.68</v>
      </c>
      <c r="M16" s="19" t="n">
        <f aca="false">M11+L11*M13+K11*M14+SUM(B11,C11,D11,E11,F11,G11,H11,I11,J11)*M15</f>
        <v>366.51</v>
      </c>
      <c r="N16" s="19" t="n">
        <f aca="false">N11+M11*N13+L11*N14+SUM(B11,C11,D11,E11,F11,G11,H11,I11,J11,K11)*N15</f>
        <v>402.705</v>
      </c>
      <c r="O16" s="19" t="n">
        <f aca="false">O11+N11*O13+M11*O14+SUM(B11,C11,D11,E11,F11,G11,H11,I11,J11,K11,L11)*O15</f>
        <v>431.165</v>
      </c>
      <c r="P16" s="19" t="n">
        <f aca="false">P11+O11*P13+N11*P14+SUM(B11,C11,D11,E11,F11,G11,H11,I11,J11,K11,L11,M11)*P15</f>
        <v>457.35</v>
      </c>
      <c r="Q16" s="19" t="n">
        <f aca="false">Q11+P11*Q13+O11*Q14+SUM(B11,C11,D11,E11,F11,G11,H11,I11,J11,K11,L11,M11,N11)*Q15</f>
        <v>482.625</v>
      </c>
      <c r="R16" s="19" t="n">
        <f aca="false">R11+Q11*R13+P11*R14+SUM(B11,C11,D11,E11,F11,G11,H11,I11,J11,K11,L11,M11,N11,O11)*R15</f>
        <v>507.9</v>
      </c>
      <c r="S16" s="19" t="n">
        <f aca="false">S11+R11*S13+Q11*S14+SUM(B11,C11,D11,E11,F11,G11,H11,I11,J11,K11,L11,M11,N11,O11,P11)*S15</f>
        <v>533.175</v>
      </c>
      <c r="T16" s="19" t="n">
        <f aca="false">T11+S11*T13+R11*T14+SUM(B11,C11,D11,E11,F11,G11,H11,I11,J11,K11,L11,M11,N11,O11,P11,Q11)*T15</f>
        <v>558.45</v>
      </c>
      <c r="U16" s="19" t="n">
        <f aca="false">U11+T11*U13+S11*U14+SUM(B11,C11,D11,E11,F11,G11,H11,I11,J11,K11,L11,M11,N11,O11,P11,Q11,R11)*U15</f>
        <v>583.725</v>
      </c>
      <c r="V16" s="19" t="n">
        <f aca="false">V11+U11*V13+T11*V14+SUM(B11,C11,D11,E11,F11,G11,H11,I11,J11,K11,L11,M11,N11,O11,P11,Q11,R11,S11)*V15</f>
        <v>609</v>
      </c>
      <c r="W16" s="19" t="n">
        <f aca="false">W11+V11*W13+U11*W14+SUM(B11,C11,D11,E11,F11,G11,H11,I11,J11,K11,L11,M11,N11,O11,P11,Q11,R11,S11,T11)*W15</f>
        <v>634.275</v>
      </c>
      <c r="X16" s="19" t="n">
        <f aca="false">X11+W11*X13+V11*X14+SUM(B11,C11,D11,E11,F11,G11,H11,I11,J11,K11,L11,M11,N11,O11,P11,Q11,R11,S11,T11,U11)*X15</f>
        <v>659.55</v>
      </c>
      <c r="Y16" s="19" t="n">
        <f aca="false">Y11+X11*Y13+W11*Y14+SUM(B11,C11,D11,E11,F11,G11,H11,I11,J11,K11,L11,M11,N11,O11,P11,Q11,R11,S11,T11,U11,V11)*Y15</f>
        <v>684.825</v>
      </c>
      <c r="Z16" s="19" t="n">
        <f aca="false">Z11+Y11*Z13+X11*Z14+SUM(B11,C11,D11,E11,F11,G11,H11,I11,J11,K11,L11,M11,N11,O11,P11,Q11,R11,S11,T11,U11,V11,W11)*Z15</f>
        <v>728.3</v>
      </c>
      <c r="AA16" s="19" t="n">
        <f aca="false">AA11+Z11*AA13+Y11*AA14+SUM(B11,C11,D11,E11,F11,G11,H11,I11,J11,K11,L11,M11,N11,O11,P11,Q11,R11,S11,T11,U11,V11,W11,X11)*AA15</f>
        <v>760.855</v>
      </c>
      <c r="AB16" s="19" t="n">
        <f aca="false">AB11+AA11*AB13+Z11*AB14+SUM(B11,C11,D11,E11,F11,G11,H11,I11,J11,K11,L11,M11,N11,O11,P11,Q11,R11,S11,T11,U11,V11,W11,X11,Y11)*AB15</f>
        <v>790.68</v>
      </c>
      <c r="AC16" s="19" t="n">
        <f aca="false">AC11+AB11*AC13+AA11*AC14+SUM(B11,C11,D11,E11,F11,G11,H11,I11,J11,K11,L11,M11,N11,O11,P11,Q11,R11,S11,T11,U11,V11,W11,X11,Y11,Z11)*AC15</f>
        <v>818.685</v>
      </c>
      <c r="AD16" s="19" t="n">
        <f aca="false">AD11+AC11*AD13+AB11*AD14+SUM(B11,C11,D11,E11,F11,G11,H11,I11,J11,K11,L11,M11,N11,O11,P11,Q11,R11,S11,T11,U11,V11,W11,X11,Y11,Z11,AA11)*AD15</f>
        <v>846.69</v>
      </c>
      <c r="AE16" s="19" t="n">
        <f aca="false">AE11+AD11*AE13+AC11*AE14+SUM(B11,C11,D11,E11,F11,G11,H11,I11,J11,K11,L11,M11,N11,O11,P11,Q11,R11,S11,T11,U11,V11,W11,X11,Y11,Z11,AA11,AB11)*AE15</f>
        <v>874.695</v>
      </c>
      <c r="AF16" s="19" t="n">
        <f aca="false">AF11+AE11*AF13+AD11*AF14+SUM(B11,C11,D11,E11,F11,G11,H11,I11,J11,K11,L11,M11,N11,O11,P11,Q11,R11,S11,T11,U11,V11,W11,X11,Y11,Z11,AA11,AB11,AC11)*AF15</f>
        <v>902.7</v>
      </c>
      <c r="AG16" s="19" t="n">
        <f aca="false">AG11+AF11*AG13+AE11*AG14+SUM(B11,C11,D11,E11,F11,G11,H11,I11,J11,K11,L11,M11,N11,O11,P11,Q11,R11,S11,T11,U11,V11,W11,X11,Y11,Z11,AA11,AB11,AC11,AD11)*AG15</f>
        <v>930.705</v>
      </c>
      <c r="AH16" s="19" t="n">
        <f aca="false">AH11+AG11*AH13+AF11*AH14+SUM(B11,C11,D11,E11,F11,G11,H11,I11,J11,K11,L11,M11,N11,O11,P11,Q11,R11,S11,T11,U11,V11,W11,X11,Y11,Z11,AA11,AB11,AC11,AD11,AE11)*AH15</f>
        <v>958.71</v>
      </c>
      <c r="AI16" s="19" t="n">
        <f aca="false">AI11+AH11*AI13+AG11*AI14+SUM(B11,C11,D11,E11,F11,G11,H11,I11,J11,K11,L11,M11,N11,O11,P11,Q11,R11,S11,T11,U11,V11,W11,X11,Y11,Z11,AA11,AB11,AC11,AD11,AE11,AF11)*AI15</f>
        <v>986.715</v>
      </c>
      <c r="AJ16" s="19" t="n">
        <f aca="false">AJ11+AI11*AJ13+AH11*AJ14+SUM(B11,C11,D11,E11,F11,G11,H11,I11,J11,K11,L11,M11,N11,O11,P11,Q11,R11,S11,T11,U11,V11,W11,X11,Y11,Z11,AA11,AB11,AC11,AD11,AE11,AF11,AG11)*AJ15</f>
        <v>1014.72</v>
      </c>
      <c r="AK16" s="19" t="n">
        <f aca="false">AK11+AJ11*AK13+AI11*AK14+SUM(B11,C11,D11,E11,F11,G11,H11,I11,J11,K11,L11,M11,N11,O11,P11,Q11,R11,S11,T11,U11,V11,W11,X11,Y11,Z11,AA11,AB11,AC11,AD11,AE11,AF11,AG11,AH11)*AK15</f>
        <v>1042.725</v>
      </c>
      <c r="AL16" s="19" t="n">
        <f aca="false">SUM(B16:AK16)</f>
        <v>19477.185</v>
      </c>
    </row>
    <row r="17" customFormat="false" ht="15" hidden="false" customHeight="true" outlineLevel="0" collapsed="false">
      <c r="A17" s="8" t="s">
        <v>317</v>
      </c>
      <c r="B17" s="27" t="n">
        <f aca="false">INDEX('Исходные данные'!$K$8:$K$29,MATCH("A19",'Исходные данные'!$J$8:$J$29,0))</f>
        <v>5</v>
      </c>
      <c r="C17" s="19" t="n">
        <f aca="false">INDEX('Исходные данные'!$K$8:$K$29,MATCH("A19",'Исходные данные'!$J$8:$J$29,0))</f>
        <v>5</v>
      </c>
      <c r="D17" s="19" t="n">
        <f aca="false">INDEX('Исходные данные'!$K$8:$K$29,MATCH("A19",'Исходные данные'!$J$8:$J$29,0))</f>
        <v>5</v>
      </c>
      <c r="E17" s="19" t="n">
        <f aca="false">INDEX('Исходные данные'!$K$8:$K$29,MATCH("A19",'Исходные данные'!$J$8:$J$29,0))</f>
        <v>5</v>
      </c>
      <c r="F17" s="19" t="n">
        <f aca="false">INDEX('Исходные данные'!$K$8:$K$29,MATCH("A19",'Исходные данные'!$J$8:$J$29,0))</f>
        <v>5</v>
      </c>
      <c r="G17" s="19" t="n">
        <f aca="false">INDEX('Исходные данные'!$K$8:$K$29,MATCH("A19",'Исходные данные'!$J$8:$J$29,0))</f>
        <v>5</v>
      </c>
      <c r="H17" s="19" t="n">
        <f aca="false">INDEX('Исходные данные'!$K$8:$K$29,MATCH("A19",'Исходные данные'!$J$8:$J$29,0))</f>
        <v>5</v>
      </c>
      <c r="I17" s="19" t="n">
        <f aca="false">INDEX('Исходные данные'!$K$8:$K$29,MATCH("A19",'Исходные данные'!$J$8:$J$29,0))</f>
        <v>5</v>
      </c>
      <c r="J17" s="19" t="n">
        <f aca="false">INDEX('Исходные данные'!$K$8:$K$29,MATCH("A19",'Исходные данные'!$J$8:$J$29,0))</f>
        <v>5</v>
      </c>
      <c r="K17" s="19" t="n">
        <f aca="false">INDEX('Исходные данные'!$K$8:$K$29,MATCH("A19",'Исходные данные'!$J$8:$J$29,0))</f>
        <v>5</v>
      </c>
      <c r="L17" s="19" t="n">
        <f aca="false">INDEX('Исходные данные'!$K$8:$K$29,MATCH("A19",'Исходные данные'!$J$8:$J$29,0))</f>
        <v>5</v>
      </c>
      <c r="M17" s="19" t="n">
        <f aca="false">INDEX('Исходные данные'!$K$8:$K$29,MATCH("A19",'Исходные данные'!$J$8:$J$29,0))</f>
        <v>5</v>
      </c>
      <c r="N17" s="19" t="n">
        <f aca="false">INDEX('Исходные данные'!$K$8:$K$29,MATCH("A19",'Исходные данные'!$J$8:$J$29,0))</f>
        <v>5</v>
      </c>
      <c r="O17" s="19" t="n">
        <f aca="false">INDEX('Исходные данные'!$K$8:$K$29,MATCH("A19",'Исходные данные'!$J$8:$J$29,0))</f>
        <v>5</v>
      </c>
      <c r="P17" s="19" t="n">
        <f aca="false">INDEX('Исходные данные'!$K$8:$K$29,MATCH("A19",'Исходные данные'!$J$8:$J$29,0))</f>
        <v>5</v>
      </c>
      <c r="Q17" s="19" t="n">
        <f aca="false">INDEX('Исходные данные'!$K$8:$K$29,MATCH("A19",'Исходные данные'!$J$8:$J$29,0))</f>
        <v>5</v>
      </c>
      <c r="R17" s="19" t="n">
        <f aca="false">INDEX('Исходные данные'!$K$8:$K$29,MATCH("A19",'Исходные данные'!$J$8:$J$29,0))</f>
        <v>5</v>
      </c>
      <c r="S17" s="19" t="n">
        <f aca="false">INDEX('Исходные данные'!$K$8:$K$29,MATCH("A19",'Исходные данные'!$J$8:$J$29,0))</f>
        <v>5</v>
      </c>
      <c r="T17" s="19" t="n">
        <f aca="false">INDEX('Исходные данные'!$K$8:$K$29,MATCH("A19",'Исходные данные'!$J$8:$J$29,0))</f>
        <v>5</v>
      </c>
      <c r="U17" s="19" t="n">
        <f aca="false">INDEX('Исходные данные'!$K$8:$K$29,MATCH("A19",'Исходные данные'!$J$8:$J$29,0))</f>
        <v>5</v>
      </c>
      <c r="V17" s="19" t="n">
        <f aca="false">INDEX('Исходные данные'!$K$8:$K$29,MATCH("A19",'Исходные данные'!$J$8:$J$29,0))</f>
        <v>5</v>
      </c>
      <c r="W17" s="19" t="n">
        <f aca="false">INDEX('Исходные данные'!$K$8:$K$29,MATCH("A19",'Исходные данные'!$J$8:$J$29,0))</f>
        <v>5</v>
      </c>
      <c r="X17" s="19" t="n">
        <f aca="false">INDEX('Исходные данные'!$K$8:$K$29,MATCH("A19",'Исходные данные'!$J$8:$J$29,0))</f>
        <v>5</v>
      </c>
      <c r="Y17" s="19" t="n">
        <f aca="false">INDEX('Исходные данные'!$K$8:$K$29,MATCH("A19",'Исходные данные'!$J$8:$J$29,0))</f>
        <v>5</v>
      </c>
      <c r="Z17" s="19" t="n">
        <f aca="false">INDEX('Исходные данные'!$K$8:$K$29,MATCH("A19",'Исходные данные'!$J$8:$J$29,0))</f>
        <v>5</v>
      </c>
      <c r="AA17" s="19" t="n">
        <f aca="false">INDEX('Исходные данные'!$K$8:$K$29,MATCH("A19",'Исходные данные'!$J$8:$J$29,0))</f>
        <v>5</v>
      </c>
      <c r="AB17" s="19" t="n">
        <f aca="false">INDEX('Исходные данные'!$K$8:$K$29,MATCH("A19",'Исходные данные'!$J$8:$J$29,0))</f>
        <v>5</v>
      </c>
      <c r="AC17" s="19" t="n">
        <f aca="false">INDEX('Исходные данные'!$K$8:$K$29,MATCH("A19",'Исходные данные'!$J$8:$J$29,0))</f>
        <v>5</v>
      </c>
      <c r="AD17" s="19" t="n">
        <f aca="false">INDEX('Исходные данные'!$K$8:$K$29,MATCH("A19",'Исходные данные'!$J$8:$J$29,0))</f>
        <v>5</v>
      </c>
      <c r="AE17" s="19" t="n">
        <f aca="false">INDEX('Исходные данные'!$K$8:$K$29,MATCH("A19",'Исходные данные'!$J$8:$J$29,0))</f>
        <v>5</v>
      </c>
      <c r="AF17" s="19" t="n">
        <f aca="false">INDEX('Исходные данные'!$K$8:$K$29,MATCH("A19",'Исходные данные'!$J$8:$J$29,0))</f>
        <v>5</v>
      </c>
      <c r="AG17" s="19" t="n">
        <f aca="false">INDEX('Исходные данные'!$K$8:$K$29,MATCH("A19",'Исходные данные'!$J$8:$J$29,0))</f>
        <v>5</v>
      </c>
      <c r="AH17" s="19" t="n">
        <f aca="false">INDEX('Исходные данные'!$K$8:$K$29,MATCH("A19",'Исходные данные'!$J$8:$J$29,0))</f>
        <v>5</v>
      </c>
      <c r="AI17" s="19" t="n">
        <f aca="false">INDEX('Исходные данные'!$K$8:$K$29,MATCH("A19",'Исходные данные'!$J$8:$J$29,0))</f>
        <v>5</v>
      </c>
      <c r="AJ17" s="19" t="n">
        <f aca="false">INDEX('Исходные данные'!$K$8:$K$29,MATCH("A19",'Исходные данные'!$J$8:$J$29,0))</f>
        <v>5</v>
      </c>
      <c r="AK17" s="19" t="n">
        <f aca="false">INDEX('Исходные данные'!$K$8:$K$29,MATCH("A19",'Исходные данные'!$J$8:$J$29,0))</f>
        <v>5</v>
      </c>
      <c r="AL17" s="19" t="n">
        <f aca="false">AVERAGE(B17:AK17)</f>
        <v>5</v>
      </c>
    </row>
    <row r="18" customFormat="false" ht="15" hidden="false" customHeight="true" outlineLevel="0" collapsed="false">
      <c r="A18" s="8" t="s">
        <v>318</v>
      </c>
      <c r="B18" s="27" t="n">
        <f aca="false">B16*B17</f>
        <v>182</v>
      </c>
      <c r="C18" s="19" t="n">
        <f aca="false">C16*C17</f>
        <v>299.2</v>
      </c>
      <c r="D18" s="19" t="n">
        <f aca="false">D16*D17</f>
        <v>406.86</v>
      </c>
      <c r="E18" s="19" t="n">
        <f aca="false">E16*E17</f>
        <v>527.42</v>
      </c>
      <c r="F18" s="19" t="n">
        <f aca="false">F16*F17</f>
        <v>662.64</v>
      </c>
      <c r="G18" s="19" t="n">
        <f aca="false">G16*G17</f>
        <v>829.52</v>
      </c>
      <c r="H18" s="19" t="n">
        <f aca="false">H16*H17</f>
        <v>995.16</v>
      </c>
      <c r="I18" s="19" t="n">
        <f aca="false">I16*I17</f>
        <v>1167.9</v>
      </c>
      <c r="J18" s="19" t="n">
        <f aca="false">J16*J17</f>
        <v>1328.575</v>
      </c>
      <c r="K18" s="19" t="n">
        <f aca="false">K16*K17</f>
        <v>1491.075</v>
      </c>
      <c r="L18" s="19" t="n">
        <f aca="false">L16*L17</f>
        <v>1658.4</v>
      </c>
      <c r="M18" s="19" t="n">
        <f aca="false">M16*M17</f>
        <v>1832.55</v>
      </c>
      <c r="N18" s="19" t="n">
        <f aca="false">N16*N17</f>
        <v>2013.525</v>
      </c>
      <c r="O18" s="19" t="n">
        <f aca="false">O16*O17</f>
        <v>2155.825</v>
      </c>
      <c r="P18" s="19" t="n">
        <f aca="false">P16*P17</f>
        <v>2286.75</v>
      </c>
      <c r="Q18" s="19" t="n">
        <f aca="false">Q16*Q17</f>
        <v>2413.125</v>
      </c>
      <c r="R18" s="19" t="n">
        <f aca="false">R16*R17</f>
        <v>2539.5</v>
      </c>
      <c r="S18" s="19" t="n">
        <f aca="false">S16*S17</f>
        <v>2665.875</v>
      </c>
      <c r="T18" s="19" t="n">
        <f aca="false">T16*T17</f>
        <v>2792.25</v>
      </c>
      <c r="U18" s="19" t="n">
        <f aca="false">U16*U17</f>
        <v>2918.625</v>
      </c>
      <c r="V18" s="19" t="n">
        <f aca="false">V16*V17</f>
        <v>3045</v>
      </c>
      <c r="W18" s="19" t="n">
        <f aca="false">W16*W17</f>
        <v>3171.375</v>
      </c>
      <c r="X18" s="19" t="n">
        <f aca="false">X16*X17</f>
        <v>3297.75</v>
      </c>
      <c r="Y18" s="19" t="n">
        <f aca="false">Y16*Y17</f>
        <v>3424.125</v>
      </c>
      <c r="Z18" s="19" t="n">
        <f aca="false">Z16*Z17</f>
        <v>3641.5</v>
      </c>
      <c r="AA18" s="19" t="n">
        <f aca="false">AA16*AA17</f>
        <v>3804.275</v>
      </c>
      <c r="AB18" s="19" t="n">
        <f aca="false">AB16*AB17</f>
        <v>3953.4</v>
      </c>
      <c r="AC18" s="19" t="n">
        <f aca="false">AC16*AC17</f>
        <v>4093.425</v>
      </c>
      <c r="AD18" s="19" t="n">
        <f aca="false">AD16*AD17</f>
        <v>4233.45</v>
      </c>
      <c r="AE18" s="19" t="n">
        <f aca="false">AE16*AE17</f>
        <v>4373.475</v>
      </c>
      <c r="AF18" s="19" t="n">
        <f aca="false">AF16*AF17</f>
        <v>4513.5</v>
      </c>
      <c r="AG18" s="19" t="n">
        <f aca="false">AG16*AG17</f>
        <v>4653.525</v>
      </c>
      <c r="AH18" s="19" t="n">
        <f aca="false">AH16*AH17</f>
        <v>4793.55</v>
      </c>
      <c r="AI18" s="19" t="n">
        <f aca="false">AI16*AI17</f>
        <v>4933.575</v>
      </c>
      <c r="AJ18" s="19" t="n">
        <f aca="false">AJ16*AJ17</f>
        <v>5073.6</v>
      </c>
      <c r="AK18" s="19" t="n">
        <f aca="false">AK16*AK17</f>
        <v>5213.625</v>
      </c>
      <c r="AL18" s="19" t="n">
        <f aca="false">SUM(B18:AK18)</f>
        <v>97385.925</v>
      </c>
    </row>
  </sheetData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38" min="2" style="1" width="12"/>
  </cols>
  <sheetData>
    <row r="1" customFormat="false" ht="36" hidden="false" customHeight="true" outlineLevel="0" collapsed="false">
      <c r="A1" s="2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1.5" hidden="false" customHeight="true" outlineLevel="0" collapsed="false">
      <c r="A2" s="3" t="s">
        <v>320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31.5" hidden="false" customHeight="true" outlineLevel="0" collapsed="false">
      <c r="A4" s="6" t="s">
        <v>13</v>
      </c>
      <c r="B4" s="6" t="s">
        <v>270</v>
      </c>
      <c r="C4" s="6" t="s">
        <v>271</v>
      </c>
      <c r="D4" s="6" t="s">
        <v>272</v>
      </c>
      <c r="E4" s="6" t="s">
        <v>273</v>
      </c>
      <c r="F4" s="6" t="s">
        <v>274</v>
      </c>
      <c r="G4" s="6" t="s">
        <v>275</v>
      </c>
      <c r="H4" s="6" t="s">
        <v>276</v>
      </c>
      <c r="I4" s="6" t="s">
        <v>277</v>
      </c>
      <c r="J4" s="6" t="s">
        <v>278</v>
      </c>
      <c r="K4" s="6" t="s">
        <v>279</v>
      </c>
      <c r="L4" s="6" t="s">
        <v>280</v>
      </c>
      <c r="M4" s="6" t="s">
        <v>281</v>
      </c>
      <c r="N4" s="6" t="s">
        <v>282</v>
      </c>
      <c r="O4" s="6" t="s">
        <v>283</v>
      </c>
      <c r="P4" s="6" t="s">
        <v>284</v>
      </c>
      <c r="Q4" s="6" t="s">
        <v>285</v>
      </c>
      <c r="R4" s="6" t="s">
        <v>286</v>
      </c>
      <c r="S4" s="6" t="s">
        <v>287</v>
      </c>
      <c r="T4" s="6" t="s">
        <v>288</v>
      </c>
      <c r="U4" s="6" t="s">
        <v>289</v>
      </c>
      <c r="V4" s="6" t="s">
        <v>290</v>
      </c>
      <c r="W4" s="6" t="s">
        <v>291</v>
      </c>
      <c r="X4" s="6" t="s">
        <v>292</v>
      </c>
      <c r="Y4" s="6" t="s">
        <v>293</v>
      </c>
      <c r="Z4" s="6" t="s">
        <v>294</v>
      </c>
      <c r="AA4" s="6" t="s">
        <v>295</v>
      </c>
      <c r="AB4" s="6" t="s">
        <v>296</v>
      </c>
      <c r="AC4" s="6" t="s">
        <v>297</v>
      </c>
      <c r="AD4" s="6" t="s">
        <v>298</v>
      </c>
      <c r="AE4" s="6" t="s">
        <v>299</v>
      </c>
      <c r="AF4" s="6" t="s">
        <v>300</v>
      </c>
      <c r="AG4" s="6" t="s">
        <v>301</v>
      </c>
      <c r="AH4" s="6" t="s">
        <v>302</v>
      </c>
      <c r="AI4" s="6" t="s">
        <v>303</v>
      </c>
      <c r="AJ4" s="6" t="s">
        <v>304</v>
      </c>
      <c r="AK4" s="6" t="s">
        <v>305</v>
      </c>
      <c r="AL4" s="6" t="s">
        <v>306</v>
      </c>
    </row>
    <row r="5" customFormat="false" ht="15" hidden="false" customHeight="true" outlineLevel="0" collapsed="false">
      <c r="A5" s="8" t="s">
        <v>84</v>
      </c>
      <c r="B5" s="19" t="n">
        <f aca="false">INDEX('Исходные данные'!$K$8:$K$29,MATCH("A20",'Исходные данные'!$J$8:$J$29,0))</f>
        <v>26</v>
      </c>
      <c r="C5" s="19" t="n">
        <f aca="false">INDEX('Исходные данные'!$K$8:$K$29,MATCH("A20",'Исходные данные'!$J$8:$J$29,0))</f>
        <v>26</v>
      </c>
      <c r="D5" s="19" t="n">
        <f aca="false">INDEX('Исходные данные'!$K$8:$K$29,MATCH("A20",'Исходные данные'!$J$8:$J$29,0))</f>
        <v>26</v>
      </c>
      <c r="E5" s="19" t="n">
        <f aca="false">INDEX('Исходные данные'!$K$8:$K$29,MATCH("A20",'Исходные данные'!$J$8:$J$29,0))</f>
        <v>26</v>
      </c>
      <c r="F5" s="19" t="n">
        <f aca="false">INDEX('Исходные данные'!$K$8:$K$29,MATCH("A20",'Исходные данные'!$J$8:$J$29,0))</f>
        <v>26</v>
      </c>
      <c r="G5" s="19" t="n">
        <f aca="false">INDEX('Исходные данные'!$K$8:$K$29,MATCH("A20",'Исходные данные'!$J$8:$J$29,0))</f>
        <v>26</v>
      </c>
      <c r="H5" s="19" t="n">
        <f aca="false">INDEX('Исходные данные'!$K$8:$K$29,MATCH("A20",'Исходные данные'!$J$8:$J$29,0))</f>
        <v>26</v>
      </c>
      <c r="I5" s="19" t="n">
        <f aca="false">INDEX('Исходные данные'!$K$8:$K$29,MATCH("A20",'Исходные данные'!$J$8:$J$29,0))</f>
        <v>26</v>
      </c>
      <c r="J5" s="19" t="n">
        <f aca="false">INDEX('Исходные данные'!$K$8:$K$29,MATCH("A20",'Исходные данные'!$J$8:$J$29,0))</f>
        <v>26</v>
      </c>
      <c r="K5" s="19" t="n">
        <f aca="false">INDEX('Исходные данные'!$K$8:$K$29,MATCH("A20",'Исходные данные'!$J$8:$J$29,0))</f>
        <v>26</v>
      </c>
      <c r="L5" s="19" t="n">
        <f aca="false">INDEX('Исходные данные'!$K$8:$K$29,MATCH("A20",'Исходные данные'!$J$8:$J$29,0))</f>
        <v>26</v>
      </c>
      <c r="M5" s="19" t="n">
        <f aca="false">INDEX('Исходные данные'!$K$8:$K$29,MATCH("A20",'Исходные данные'!$J$8:$J$29,0))</f>
        <v>26</v>
      </c>
      <c r="N5" s="19" t="n">
        <f aca="false">INDEX('Исходные данные'!$K$8:$K$29,MATCH("A20",'Исходные данные'!$J$8:$J$29,0))</f>
        <v>26</v>
      </c>
      <c r="O5" s="19" t="n">
        <f aca="false">INDEX('Исходные данные'!$K$8:$K$29,MATCH("A20",'Исходные данные'!$J$8:$J$29,0))</f>
        <v>26</v>
      </c>
      <c r="P5" s="19" t="n">
        <f aca="false">INDEX('Исходные данные'!$K$8:$K$29,MATCH("A20",'Исходные данные'!$J$8:$J$29,0))</f>
        <v>26</v>
      </c>
      <c r="Q5" s="19" t="n">
        <f aca="false">INDEX('Исходные данные'!$K$8:$K$29,MATCH("A20",'Исходные данные'!$J$8:$J$29,0))</f>
        <v>26</v>
      </c>
      <c r="R5" s="19" t="n">
        <f aca="false">INDEX('Исходные данные'!$K$8:$K$29,MATCH("A20",'Исходные данные'!$J$8:$J$29,0))</f>
        <v>26</v>
      </c>
      <c r="S5" s="19" t="n">
        <f aca="false">INDEX('Исходные данные'!$K$8:$K$29,MATCH("A20",'Исходные данные'!$J$8:$J$29,0))</f>
        <v>26</v>
      </c>
      <c r="T5" s="19" t="n">
        <f aca="false">INDEX('Исходные данные'!$K$8:$K$29,MATCH("A20",'Исходные данные'!$J$8:$J$29,0))</f>
        <v>26</v>
      </c>
      <c r="U5" s="19" t="n">
        <f aca="false">INDEX('Исходные данные'!$K$8:$K$29,MATCH("A20",'Исходные данные'!$J$8:$J$29,0))</f>
        <v>26</v>
      </c>
      <c r="V5" s="19" t="n">
        <f aca="false">INDEX('Исходные данные'!$K$8:$K$29,MATCH("A20",'Исходные данные'!$J$8:$J$29,0))</f>
        <v>26</v>
      </c>
      <c r="W5" s="19" t="n">
        <f aca="false">INDEX('Исходные данные'!$K$8:$K$29,MATCH("A20",'Исходные данные'!$J$8:$J$29,0))</f>
        <v>26</v>
      </c>
      <c r="X5" s="19" t="n">
        <f aca="false">INDEX('Исходные данные'!$K$8:$K$29,MATCH("A20",'Исходные данные'!$J$8:$J$29,0))</f>
        <v>26</v>
      </c>
      <c r="Y5" s="19" t="n">
        <f aca="false">INDEX('Исходные данные'!$K$8:$K$29,MATCH("A20",'Исходные данные'!$J$8:$J$29,0))</f>
        <v>26</v>
      </c>
      <c r="Z5" s="19" t="n">
        <f aca="false">INDEX('Исходные данные'!$K$8:$K$29,MATCH("A20",'Исходные данные'!$J$8:$J$29,0))</f>
        <v>26</v>
      </c>
      <c r="AA5" s="19" t="n">
        <f aca="false">INDEX('Исходные данные'!$K$8:$K$29,MATCH("A20",'Исходные данные'!$J$8:$J$29,0))</f>
        <v>26</v>
      </c>
      <c r="AB5" s="19" t="n">
        <f aca="false">INDEX('Исходные данные'!$K$8:$K$29,MATCH("A20",'Исходные данные'!$J$8:$J$29,0))</f>
        <v>26</v>
      </c>
      <c r="AC5" s="19" t="n">
        <f aca="false">INDEX('Исходные данные'!$K$8:$K$29,MATCH("A20",'Исходные данные'!$J$8:$J$29,0))</f>
        <v>26</v>
      </c>
      <c r="AD5" s="19" t="n">
        <f aca="false">INDEX('Исходные данные'!$K$8:$K$29,MATCH("A20",'Исходные данные'!$J$8:$J$29,0))</f>
        <v>26</v>
      </c>
      <c r="AE5" s="19" t="n">
        <f aca="false">INDEX('Исходные данные'!$K$8:$K$29,MATCH("A20",'Исходные данные'!$J$8:$J$29,0))</f>
        <v>26</v>
      </c>
      <c r="AF5" s="19" t="n">
        <f aca="false">INDEX('Исходные данные'!$K$8:$K$29,MATCH("A20",'Исходные данные'!$J$8:$J$29,0))</f>
        <v>26</v>
      </c>
      <c r="AG5" s="19" t="n">
        <f aca="false">INDEX('Исходные данные'!$K$8:$K$29,MATCH("A20",'Исходные данные'!$J$8:$J$29,0))</f>
        <v>26</v>
      </c>
      <c r="AH5" s="19" t="n">
        <f aca="false">INDEX('Исходные данные'!$K$8:$K$29,MATCH("A20",'Исходные данные'!$J$8:$J$29,0))</f>
        <v>26</v>
      </c>
      <c r="AI5" s="19" t="n">
        <f aca="false">INDEX('Исходные данные'!$K$8:$K$29,MATCH("A20",'Исходные данные'!$J$8:$J$29,0))</f>
        <v>26</v>
      </c>
      <c r="AJ5" s="19" t="n">
        <f aca="false">INDEX('Исходные данные'!$K$8:$K$29,MATCH("A20",'Исходные данные'!$J$8:$J$29,0))</f>
        <v>26</v>
      </c>
      <c r="AK5" s="19" t="n">
        <f aca="false">INDEX('Исходные данные'!$K$8:$K$29,MATCH("A20",'Исходные данные'!$J$8:$J$29,0))</f>
        <v>26</v>
      </c>
      <c r="AL5" s="19" t="n">
        <f aca="false">AVERAGE(B5:AK5)</f>
        <v>26</v>
      </c>
    </row>
    <row r="6" customFormat="false" ht="15" hidden="false" customHeight="true" outlineLevel="0" collapsed="false">
      <c r="A6" s="8" t="s">
        <v>321</v>
      </c>
      <c r="B6" s="27" t="n">
        <v>20</v>
      </c>
      <c r="C6" s="27" t="n">
        <v>25</v>
      </c>
      <c r="D6" s="27" t="n">
        <v>30</v>
      </c>
      <c r="E6" s="27" t="n">
        <v>35</v>
      </c>
      <c r="F6" s="27" t="n">
        <v>40</v>
      </c>
      <c r="G6" s="27" t="n">
        <v>45</v>
      </c>
      <c r="H6" s="27" t="n">
        <v>50</v>
      </c>
      <c r="I6" s="27" t="n">
        <v>55</v>
      </c>
      <c r="J6" s="27" t="n">
        <v>60</v>
      </c>
      <c r="K6" s="27" t="n">
        <v>65</v>
      </c>
      <c r="L6" s="27" t="n">
        <v>70</v>
      </c>
      <c r="M6" s="27" t="n">
        <v>75</v>
      </c>
      <c r="N6" s="27" t="n">
        <v>75</v>
      </c>
      <c r="O6" s="27" t="n">
        <v>80</v>
      </c>
      <c r="P6" s="27" t="n">
        <v>80</v>
      </c>
      <c r="Q6" s="27" t="n">
        <v>85</v>
      </c>
      <c r="R6" s="27" t="n">
        <v>85</v>
      </c>
      <c r="S6" s="27" t="n">
        <v>90</v>
      </c>
      <c r="T6" s="27" t="n">
        <v>90</v>
      </c>
      <c r="U6" s="27" t="n">
        <v>95</v>
      </c>
      <c r="V6" s="27" t="n">
        <v>95</v>
      </c>
      <c r="W6" s="27" t="n">
        <v>100</v>
      </c>
      <c r="X6" s="27" t="n">
        <v>100</v>
      </c>
      <c r="Y6" s="27" t="n">
        <v>105</v>
      </c>
      <c r="Z6" s="27" t="n">
        <v>105</v>
      </c>
      <c r="AA6" s="27" t="n">
        <v>110</v>
      </c>
      <c r="AB6" s="27" t="n">
        <v>110</v>
      </c>
      <c r="AC6" s="27" t="n">
        <v>115</v>
      </c>
      <c r="AD6" s="27" t="n">
        <v>115</v>
      </c>
      <c r="AE6" s="27" t="n">
        <v>120</v>
      </c>
      <c r="AF6" s="27" t="n">
        <v>120</v>
      </c>
      <c r="AG6" s="27" t="n">
        <v>120</v>
      </c>
      <c r="AH6" s="27" t="n">
        <v>120</v>
      </c>
      <c r="AI6" s="27" t="n">
        <v>120</v>
      </c>
      <c r="AJ6" s="27" t="n">
        <v>120</v>
      </c>
      <c r="AK6" s="27" t="n">
        <v>120</v>
      </c>
      <c r="AL6" s="19" t="n">
        <f aca="false">AVERAGE(B6:AK6)</f>
        <v>84.5833333333333</v>
      </c>
    </row>
    <row r="7" customFormat="false" ht="15" hidden="false" customHeight="true" outlineLevel="0" collapsed="false">
      <c r="A7" s="8" t="s">
        <v>322</v>
      </c>
      <c r="B7" s="19" t="n">
        <f aca="false">B5*B6</f>
        <v>520</v>
      </c>
      <c r="C7" s="19" t="n">
        <f aca="false">C5*C6</f>
        <v>650</v>
      </c>
      <c r="D7" s="19" t="n">
        <f aca="false">D5*D6</f>
        <v>780</v>
      </c>
      <c r="E7" s="19" t="n">
        <f aca="false">E5*E6</f>
        <v>910</v>
      </c>
      <c r="F7" s="19" t="n">
        <f aca="false">F5*F6</f>
        <v>1040</v>
      </c>
      <c r="G7" s="19" t="n">
        <f aca="false">G5*G6</f>
        <v>1170</v>
      </c>
      <c r="H7" s="19" t="n">
        <f aca="false">H5*H6</f>
        <v>1300</v>
      </c>
      <c r="I7" s="19" t="n">
        <f aca="false">I5*I6</f>
        <v>1430</v>
      </c>
      <c r="J7" s="19" t="n">
        <f aca="false">J5*J6</f>
        <v>1560</v>
      </c>
      <c r="K7" s="19" t="n">
        <f aca="false">K5*K6</f>
        <v>1690</v>
      </c>
      <c r="L7" s="19" t="n">
        <f aca="false">L5*L6</f>
        <v>1820</v>
      </c>
      <c r="M7" s="19" t="n">
        <f aca="false">M5*M6</f>
        <v>1950</v>
      </c>
      <c r="N7" s="19" t="n">
        <f aca="false">N5*N6</f>
        <v>1950</v>
      </c>
      <c r="O7" s="19" t="n">
        <f aca="false">O5*O6</f>
        <v>2080</v>
      </c>
      <c r="P7" s="19" t="n">
        <f aca="false">P5*P6</f>
        <v>2080</v>
      </c>
      <c r="Q7" s="19" t="n">
        <f aca="false">Q5*Q6</f>
        <v>2210</v>
      </c>
      <c r="R7" s="19" t="n">
        <f aca="false">R5*R6</f>
        <v>2210</v>
      </c>
      <c r="S7" s="19" t="n">
        <f aca="false">S5*S6</f>
        <v>2340</v>
      </c>
      <c r="T7" s="19" t="n">
        <f aca="false">T5*T6</f>
        <v>2340</v>
      </c>
      <c r="U7" s="19" t="n">
        <f aca="false">U5*U6</f>
        <v>2470</v>
      </c>
      <c r="V7" s="19" t="n">
        <f aca="false">V5*V6</f>
        <v>2470</v>
      </c>
      <c r="W7" s="19" t="n">
        <f aca="false">W5*W6</f>
        <v>2600</v>
      </c>
      <c r="X7" s="19" t="n">
        <f aca="false">X5*X6</f>
        <v>2600</v>
      </c>
      <c r="Y7" s="19" t="n">
        <f aca="false">Y5*Y6</f>
        <v>2730</v>
      </c>
      <c r="Z7" s="19" t="n">
        <f aca="false">Z5*Z6</f>
        <v>2730</v>
      </c>
      <c r="AA7" s="19" t="n">
        <f aca="false">AA5*AA6</f>
        <v>2860</v>
      </c>
      <c r="AB7" s="19" t="n">
        <f aca="false">AB5*AB6</f>
        <v>2860</v>
      </c>
      <c r="AC7" s="19" t="n">
        <f aca="false">AC5*AC6</f>
        <v>2990</v>
      </c>
      <c r="AD7" s="19" t="n">
        <f aca="false">AD5*AD6</f>
        <v>2990</v>
      </c>
      <c r="AE7" s="19" t="n">
        <f aca="false">AE5*AE6</f>
        <v>3120</v>
      </c>
      <c r="AF7" s="19" t="n">
        <f aca="false">AF5*AF6</f>
        <v>3120</v>
      </c>
      <c r="AG7" s="19" t="n">
        <f aca="false">AG5*AG6</f>
        <v>3120</v>
      </c>
      <c r="AH7" s="19" t="n">
        <f aca="false">AH5*AH6</f>
        <v>3120</v>
      </c>
      <c r="AI7" s="19" t="n">
        <f aca="false">AI5*AI6</f>
        <v>3120</v>
      </c>
      <c r="AJ7" s="19" t="n">
        <f aca="false">AJ5*AJ6</f>
        <v>3120</v>
      </c>
      <c r="AK7" s="19" t="n">
        <f aca="false">AK5*AK6</f>
        <v>3120</v>
      </c>
      <c r="AL7" s="19" t="n">
        <f aca="false">SUM(B7:AK7)</f>
        <v>79170</v>
      </c>
    </row>
    <row r="8" customFormat="false" ht="15" hidden="false" customHeight="true" outlineLevel="0" collapsed="false">
      <c r="A8" s="8" t="s">
        <v>323</v>
      </c>
      <c r="B8" s="19" t="n">
        <f aca="false">'Воронка продаж'!B18</f>
        <v>182</v>
      </c>
      <c r="C8" s="19" t="n">
        <f aca="false">'Воронка продаж'!C18</f>
        <v>299.2</v>
      </c>
      <c r="D8" s="19" t="n">
        <f aca="false">'Воронка продаж'!D18</f>
        <v>406.86</v>
      </c>
      <c r="E8" s="19" t="n">
        <f aca="false">'Воронка продаж'!E18</f>
        <v>527.42</v>
      </c>
      <c r="F8" s="19" t="n">
        <f aca="false">'Воронка продаж'!F18</f>
        <v>662.64</v>
      </c>
      <c r="G8" s="19" t="n">
        <f aca="false">'Воронка продаж'!G18</f>
        <v>829.52</v>
      </c>
      <c r="H8" s="19" t="n">
        <f aca="false">'Воронка продаж'!H18</f>
        <v>995.16</v>
      </c>
      <c r="I8" s="19" t="n">
        <f aca="false">'Воронка продаж'!I18</f>
        <v>1167.9</v>
      </c>
      <c r="J8" s="19" t="n">
        <f aca="false">'Воронка продаж'!J18</f>
        <v>1328.575</v>
      </c>
      <c r="K8" s="19" t="n">
        <f aca="false">'Воронка продаж'!K18</f>
        <v>1491.075</v>
      </c>
      <c r="L8" s="19" t="n">
        <f aca="false">'Воронка продаж'!L18</f>
        <v>1658.4</v>
      </c>
      <c r="M8" s="19" t="n">
        <f aca="false">'Воронка продаж'!M18</f>
        <v>1832.55</v>
      </c>
      <c r="N8" s="19" t="n">
        <f aca="false">'Воронка продаж'!N18</f>
        <v>2013.525</v>
      </c>
      <c r="O8" s="19" t="n">
        <f aca="false">'Воронка продаж'!O18</f>
        <v>2155.825</v>
      </c>
      <c r="P8" s="19" t="n">
        <f aca="false">'Воронка продаж'!P18</f>
        <v>2286.75</v>
      </c>
      <c r="Q8" s="19" t="n">
        <f aca="false">'Воронка продаж'!Q18</f>
        <v>2413.125</v>
      </c>
      <c r="R8" s="19" t="n">
        <f aca="false">'Воронка продаж'!R18</f>
        <v>2539.5</v>
      </c>
      <c r="S8" s="19" t="n">
        <f aca="false">'Воронка продаж'!S18</f>
        <v>2665.875</v>
      </c>
      <c r="T8" s="19" t="n">
        <f aca="false">'Воронка продаж'!T18</f>
        <v>2792.25</v>
      </c>
      <c r="U8" s="19" t="n">
        <f aca="false">'Воронка продаж'!U18</f>
        <v>2918.625</v>
      </c>
      <c r="V8" s="19" t="n">
        <f aca="false">'Воронка продаж'!V18</f>
        <v>3045</v>
      </c>
      <c r="W8" s="19" t="n">
        <f aca="false">'Воронка продаж'!W18</f>
        <v>3171.375</v>
      </c>
      <c r="X8" s="19" t="n">
        <f aca="false">'Воронка продаж'!X18</f>
        <v>3297.75</v>
      </c>
      <c r="Y8" s="19" t="n">
        <f aca="false">'Воронка продаж'!Y18</f>
        <v>3424.125</v>
      </c>
      <c r="Z8" s="19" t="n">
        <f aca="false">'Воронка продаж'!Z18</f>
        <v>3641.5</v>
      </c>
      <c r="AA8" s="19" t="n">
        <f aca="false">'Воронка продаж'!AA18</f>
        <v>3804.275</v>
      </c>
      <c r="AB8" s="19" t="n">
        <f aca="false">'Воронка продаж'!AB18</f>
        <v>3953.4</v>
      </c>
      <c r="AC8" s="19" t="n">
        <f aca="false">'Воронка продаж'!AC18</f>
        <v>4093.425</v>
      </c>
      <c r="AD8" s="19" t="n">
        <f aca="false">'Воронка продаж'!AD18</f>
        <v>4233.45</v>
      </c>
      <c r="AE8" s="19" t="n">
        <f aca="false">'Воронка продаж'!AE18</f>
        <v>4373.475</v>
      </c>
      <c r="AF8" s="19" t="n">
        <f aca="false">'Воронка продаж'!AF18</f>
        <v>4513.5</v>
      </c>
      <c r="AG8" s="19" t="n">
        <f aca="false">'Воронка продаж'!AG18</f>
        <v>4653.525</v>
      </c>
      <c r="AH8" s="19" t="n">
        <f aca="false">'Воронка продаж'!AH18</f>
        <v>4793.55</v>
      </c>
      <c r="AI8" s="19" t="n">
        <f aca="false">'Воронка продаж'!AI18</f>
        <v>4933.575</v>
      </c>
      <c r="AJ8" s="19" t="n">
        <f aca="false">'Воронка продаж'!AJ18</f>
        <v>5073.6</v>
      </c>
      <c r="AK8" s="19" t="n">
        <f aca="false">'Воронка продаж'!AK18</f>
        <v>5213.625</v>
      </c>
      <c r="AL8" s="19" t="n">
        <f aca="false">SUM(B8:AK8)</f>
        <v>97385.925</v>
      </c>
    </row>
    <row r="9" customFormat="false" ht="15" hidden="false" customHeight="true" outlineLevel="0" collapsed="false">
      <c r="A9" s="8" t="s">
        <v>324</v>
      </c>
      <c r="B9" s="19" t="n">
        <f aca="false">MIN(B7,B8)</f>
        <v>182</v>
      </c>
      <c r="C9" s="19" t="n">
        <f aca="false">MIN(C7,C8)</f>
        <v>299.2</v>
      </c>
      <c r="D9" s="19" t="n">
        <f aca="false">MIN(D7,D8)</f>
        <v>406.86</v>
      </c>
      <c r="E9" s="19" t="n">
        <f aca="false">MIN(E7,E8)</f>
        <v>527.42</v>
      </c>
      <c r="F9" s="19" t="n">
        <f aca="false">MIN(F7,F8)</f>
        <v>662.64</v>
      </c>
      <c r="G9" s="19" t="n">
        <f aca="false">MIN(G7,G8)</f>
        <v>829.52</v>
      </c>
      <c r="H9" s="19" t="n">
        <f aca="false">MIN(H7,H8)</f>
        <v>995.16</v>
      </c>
      <c r="I9" s="19" t="n">
        <f aca="false">MIN(I7,I8)</f>
        <v>1167.9</v>
      </c>
      <c r="J9" s="19" t="n">
        <f aca="false">MIN(J7,J8)</f>
        <v>1328.575</v>
      </c>
      <c r="K9" s="19" t="n">
        <f aca="false">MIN(K7,K8)</f>
        <v>1491.075</v>
      </c>
      <c r="L9" s="19" t="n">
        <f aca="false">MIN(L7,L8)</f>
        <v>1658.4</v>
      </c>
      <c r="M9" s="19" t="n">
        <f aca="false">MIN(M7,M8)</f>
        <v>1832.55</v>
      </c>
      <c r="N9" s="19" t="n">
        <f aca="false">MIN(N7,N8)</f>
        <v>1950</v>
      </c>
      <c r="O9" s="19" t="n">
        <f aca="false">MIN(O7,O8)</f>
        <v>2080</v>
      </c>
      <c r="P9" s="19" t="n">
        <f aca="false">MIN(P7,P8)</f>
        <v>2080</v>
      </c>
      <c r="Q9" s="19" t="n">
        <f aca="false">MIN(Q7,Q8)</f>
        <v>2210</v>
      </c>
      <c r="R9" s="19" t="n">
        <f aca="false">MIN(R7,R8)</f>
        <v>2210</v>
      </c>
      <c r="S9" s="19" t="n">
        <f aca="false">MIN(S7,S8)</f>
        <v>2340</v>
      </c>
      <c r="T9" s="19" t="n">
        <f aca="false">MIN(T7,T8)</f>
        <v>2340</v>
      </c>
      <c r="U9" s="19" t="n">
        <f aca="false">MIN(U7,U8)</f>
        <v>2470</v>
      </c>
      <c r="V9" s="19" t="n">
        <f aca="false">MIN(V7,V8)</f>
        <v>2470</v>
      </c>
      <c r="W9" s="19" t="n">
        <f aca="false">MIN(W7,W8)</f>
        <v>2600</v>
      </c>
      <c r="X9" s="19" t="n">
        <f aca="false">MIN(X7,X8)</f>
        <v>2600</v>
      </c>
      <c r="Y9" s="19" t="n">
        <f aca="false">MIN(Y7,Y8)</f>
        <v>2730</v>
      </c>
      <c r="Z9" s="19" t="n">
        <f aca="false">MIN(Z7,Z8)</f>
        <v>2730</v>
      </c>
      <c r="AA9" s="19" t="n">
        <f aca="false">MIN(AA7,AA8)</f>
        <v>2860</v>
      </c>
      <c r="AB9" s="19" t="n">
        <f aca="false">MIN(AB7,AB8)</f>
        <v>2860</v>
      </c>
      <c r="AC9" s="19" t="n">
        <f aca="false">MIN(AC7,AC8)</f>
        <v>2990</v>
      </c>
      <c r="AD9" s="19" t="n">
        <f aca="false">MIN(AD7,AD8)</f>
        <v>2990</v>
      </c>
      <c r="AE9" s="19" t="n">
        <f aca="false">MIN(AE7,AE8)</f>
        <v>3120</v>
      </c>
      <c r="AF9" s="19" t="n">
        <f aca="false">MIN(AF7,AF8)</f>
        <v>3120</v>
      </c>
      <c r="AG9" s="19" t="n">
        <f aca="false">MIN(AG7,AG8)</f>
        <v>3120</v>
      </c>
      <c r="AH9" s="19" t="n">
        <f aca="false">MIN(AH7,AH8)</f>
        <v>3120</v>
      </c>
      <c r="AI9" s="19" t="n">
        <f aca="false">MIN(AI7,AI8)</f>
        <v>3120</v>
      </c>
      <c r="AJ9" s="19" t="n">
        <f aca="false">MIN(AJ7,AJ8)</f>
        <v>3120</v>
      </c>
      <c r="AK9" s="19" t="n">
        <f aca="false">MIN(AK7,AK8)</f>
        <v>3120</v>
      </c>
      <c r="AL9" s="19" t="n">
        <f aca="false">SUM(B9:AK9)</f>
        <v>75731.3</v>
      </c>
    </row>
    <row r="10" customFormat="false" ht="15" hidden="false" customHeight="true" outlineLevel="0" collapsed="false">
      <c r="A10" s="8" t="s">
        <v>99</v>
      </c>
      <c r="B10" s="17" t="n">
        <f aca="false">INDEX('Исходные данные'!$K$8:$K$29,MATCH("A01",'Исходные данные'!$J$8:$J$29,0))</f>
        <v>44.35</v>
      </c>
      <c r="C10" s="17" t="n">
        <f aca="false">INDEX('Исходные данные'!$K$8:$K$29,MATCH("A01",'Исходные данные'!$J$8:$J$29,0))</f>
        <v>44.35</v>
      </c>
      <c r="D10" s="17" t="n">
        <f aca="false">INDEX('Исходные данные'!$K$8:$K$29,MATCH("A01",'Исходные данные'!$J$8:$J$29,0))</f>
        <v>44.35</v>
      </c>
      <c r="E10" s="17" t="n">
        <f aca="false">INDEX('Исходные данные'!$K$8:$K$29,MATCH("A01",'Исходные данные'!$J$8:$J$29,0))</f>
        <v>44.35</v>
      </c>
      <c r="F10" s="17" t="n">
        <f aca="false">INDEX('Исходные данные'!$K$8:$K$29,MATCH("A01",'Исходные данные'!$J$8:$J$29,0))</f>
        <v>44.35</v>
      </c>
      <c r="G10" s="17" t="n">
        <f aca="false">INDEX('Исходные данные'!$K$8:$K$29,MATCH("A01",'Исходные данные'!$J$8:$J$29,0))</f>
        <v>44.35</v>
      </c>
      <c r="H10" s="17" t="n">
        <f aca="false">INDEX('Исходные данные'!$K$8:$K$29,MATCH("A01",'Исходные данные'!$J$8:$J$29,0))</f>
        <v>44.35</v>
      </c>
      <c r="I10" s="17" t="n">
        <f aca="false">INDEX('Исходные данные'!$K$8:$K$29,MATCH("A01",'Исходные данные'!$J$8:$J$29,0))</f>
        <v>44.35</v>
      </c>
      <c r="J10" s="17" t="n">
        <f aca="false">INDEX('Исходные данные'!$K$8:$K$29,MATCH("A01",'Исходные данные'!$J$8:$J$29,0))</f>
        <v>44.35</v>
      </c>
      <c r="K10" s="17" t="n">
        <f aca="false">INDEX('Исходные данные'!$K$8:$K$29,MATCH("A01",'Исходные данные'!$J$8:$J$29,0))</f>
        <v>44.35</v>
      </c>
      <c r="L10" s="17" t="n">
        <f aca="false">INDEX('Исходные данные'!$K$8:$K$29,MATCH("A01",'Исходные данные'!$J$8:$J$29,0))</f>
        <v>44.35</v>
      </c>
      <c r="M10" s="17" t="n">
        <f aca="false">INDEX('Исходные данные'!$K$8:$K$29,MATCH("A01",'Исходные данные'!$J$8:$J$29,0))</f>
        <v>44.35</v>
      </c>
      <c r="N10" s="17" t="n">
        <f aca="false">INDEX('Исходные данные'!$K$8:$K$29,MATCH("A01",'Исходные данные'!$J$8:$J$29,0))</f>
        <v>44.35</v>
      </c>
      <c r="O10" s="17" t="n">
        <f aca="false">INDEX('Исходные данные'!$K$8:$K$29,MATCH("A01",'Исходные данные'!$J$8:$J$29,0))</f>
        <v>44.35</v>
      </c>
      <c r="P10" s="17" t="n">
        <f aca="false">INDEX('Исходные данные'!$K$8:$K$29,MATCH("A01",'Исходные данные'!$J$8:$J$29,0))</f>
        <v>44.35</v>
      </c>
      <c r="Q10" s="17" t="n">
        <f aca="false">INDEX('Исходные данные'!$K$8:$K$29,MATCH("A01",'Исходные данные'!$J$8:$J$29,0))</f>
        <v>44.35</v>
      </c>
      <c r="R10" s="17" t="n">
        <f aca="false">INDEX('Исходные данные'!$K$8:$K$29,MATCH("A01",'Исходные данные'!$J$8:$J$29,0))</f>
        <v>44.35</v>
      </c>
      <c r="S10" s="17" t="n">
        <f aca="false">INDEX('Исходные данные'!$K$8:$K$29,MATCH("A01",'Исходные данные'!$J$8:$J$29,0))</f>
        <v>44.35</v>
      </c>
      <c r="T10" s="17" t="n">
        <f aca="false">INDEX('Исходные данные'!$K$8:$K$29,MATCH("A01",'Исходные данные'!$J$8:$J$29,0))</f>
        <v>44.35</v>
      </c>
      <c r="U10" s="17" t="n">
        <f aca="false">INDEX('Исходные данные'!$K$8:$K$29,MATCH("A01",'Исходные данные'!$J$8:$J$29,0))</f>
        <v>44.35</v>
      </c>
      <c r="V10" s="17" t="n">
        <f aca="false">INDEX('Исходные данные'!$K$8:$K$29,MATCH("A01",'Исходные данные'!$J$8:$J$29,0))</f>
        <v>44.35</v>
      </c>
      <c r="W10" s="17" t="n">
        <f aca="false">INDEX('Исходные данные'!$K$8:$K$29,MATCH("A01",'Исходные данные'!$J$8:$J$29,0))</f>
        <v>44.35</v>
      </c>
      <c r="X10" s="17" t="n">
        <f aca="false">INDEX('Исходные данные'!$K$8:$K$29,MATCH("A01",'Исходные данные'!$J$8:$J$29,0))</f>
        <v>44.35</v>
      </c>
      <c r="Y10" s="17" t="n">
        <f aca="false">INDEX('Исходные данные'!$K$8:$K$29,MATCH("A01",'Исходные данные'!$J$8:$J$29,0))</f>
        <v>44.35</v>
      </c>
      <c r="Z10" s="17" t="n">
        <f aca="false">INDEX('Исходные данные'!$K$8:$K$29,MATCH("A01",'Исходные данные'!$J$8:$J$29,0))</f>
        <v>44.35</v>
      </c>
      <c r="AA10" s="17" t="n">
        <f aca="false">INDEX('Исходные данные'!$K$8:$K$29,MATCH("A01",'Исходные данные'!$J$8:$J$29,0))</f>
        <v>44.35</v>
      </c>
      <c r="AB10" s="17" t="n">
        <f aca="false">INDEX('Исходные данные'!$K$8:$K$29,MATCH("A01",'Исходные данные'!$J$8:$J$29,0))</f>
        <v>44.35</v>
      </c>
      <c r="AC10" s="17" t="n">
        <f aca="false">INDEX('Исходные данные'!$K$8:$K$29,MATCH("A01",'Исходные данные'!$J$8:$J$29,0))</f>
        <v>44.35</v>
      </c>
      <c r="AD10" s="17" t="n">
        <f aca="false">INDEX('Исходные данные'!$K$8:$K$29,MATCH("A01",'Исходные данные'!$J$8:$J$29,0))</f>
        <v>44.35</v>
      </c>
      <c r="AE10" s="17" t="n">
        <f aca="false">INDEX('Исходные данные'!$K$8:$K$29,MATCH("A01",'Исходные данные'!$J$8:$J$29,0))</f>
        <v>44.35</v>
      </c>
      <c r="AF10" s="17" t="n">
        <f aca="false">INDEX('Исходные данные'!$K$8:$K$29,MATCH("A01",'Исходные данные'!$J$8:$J$29,0))</f>
        <v>44.35</v>
      </c>
      <c r="AG10" s="17" t="n">
        <f aca="false">INDEX('Исходные данные'!$K$8:$K$29,MATCH("A01",'Исходные данные'!$J$8:$J$29,0))</f>
        <v>44.35</v>
      </c>
      <c r="AH10" s="17" t="n">
        <f aca="false">INDEX('Исходные данные'!$K$8:$K$29,MATCH("A01",'Исходные данные'!$J$8:$J$29,0))</f>
        <v>44.35</v>
      </c>
      <c r="AI10" s="17" t="n">
        <f aca="false">INDEX('Исходные данные'!$K$8:$K$29,MATCH("A01",'Исходные данные'!$J$8:$J$29,0))</f>
        <v>44.35</v>
      </c>
      <c r="AJ10" s="17" t="n">
        <f aca="false">INDEX('Исходные данные'!$K$8:$K$29,MATCH("A01",'Исходные данные'!$J$8:$J$29,0))</f>
        <v>44.35</v>
      </c>
      <c r="AK10" s="17" t="n">
        <f aca="false">INDEX('Исходные данные'!$K$8:$K$29,MATCH("A01",'Исходные данные'!$J$8:$J$29,0))</f>
        <v>44.35</v>
      </c>
      <c r="AL10" s="17" t="n">
        <f aca="false">AVERAGE(B10:AK10)</f>
        <v>44.35</v>
      </c>
    </row>
    <row r="11" customFormat="false" ht="21.75" hidden="false" customHeight="true" outlineLevel="0" collapsed="false">
      <c r="A11" s="8" t="s">
        <v>325</v>
      </c>
      <c r="B11" s="17" t="n">
        <f aca="false">B9*B10</f>
        <v>8071.7</v>
      </c>
      <c r="C11" s="17" t="n">
        <f aca="false">C9*C10</f>
        <v>13269.52</v>
      </c>
      <c r="D11" s="17" t="n">
        <f aca="false">D9*D10</f>
        <v>18044.241</v>
      </c>
      <c r="E11" s="17" t="n">
        <f aca="false">E9*E10</f>
        <v>23391.077</v>
      </c>
      <c r="F11" s="17" t="n">
        <f aca="false">F9*F10</f>
        <v>29388.084</v>
      </c>
      <c r="G11" s="17" t="n">
        <f aca="false">G9*G10</f>
        <v>36789.212</v>
      </c>
      <c r="H11" s="17" t="n">
        <f aca="false">H9*H10</f>
        <v>44135.346</v>
      </c>
      <c r="I11" s="17" t="n">
        <f aca="false">I9*I10</f>
        <v>51796.365</v>
      </c>
      <c r="J11" s="17" t="n">
        <f aca="false">J9*J10</f>
        <v>58922.30125</v>
      </c>
      <c r="K11" s="17" t="n">
        <f aca="false">K9*K10</f>
        <v>66129.17625</v>
      </c>
      <c r="L11" s="17" t="n">
        <f aca="false">L9*L10</f>
        <v>73550.04</v>
      </c>
      <c r="M11" s="17" t="n">
        <f aca="false">M9*M10</f>
        <v>81273.5925</v>
      </c>
      <c r="N11" s="17" t="n">
        <f aca="false">N9*N10</f>
        <v>86482.5</v>
      </c>
      <c r="O11" s="17" t="n">
        <f aca="false">O9*O10</f>
        <v>92248</v>
      </c>
      <c r="P11" s="17" t="n">
        <f aca="false">P9*P10</f>
        <v>92248</v>
      </c>
      <c r="Q11" s="17" t="n">
        <f aca="false">Q9*Q10</f>
        <v>98013.5</v>
      </c>
      <c r="R11" s="17" t="n">
        <f aca="false">R9*R10</f>
        <v>98013.5</v>
      </c>
      <c r="S11" s="17" t="n">
        <f aca="false">S9*S10</f>
        <v>103779</v>
      </c>
      <c r="T11" s="17" t="n">
        <f aca="false">T9*T10</f>
        <v>103779</v>
      </c>
      <c r="U11" s="17" t="n">
        <f aca="false">U9*U10</f>
        <v>109544.5</v>
      </c>
      <c r="V11" s="17" t="n">
        <f aca="false">V9*V10</f>
        <v>109544.5</v>
      </c>
      <c r="W11" s="17" t="n">
        <f aca="false">W9*W10</f>
        <v>115310</v>
      </c>
      <c r="X11" s="17" t="n">
        <f aca="false">X9*X10</f>
        <v>115310</v>
      </c>
      <c r="Y11" s="17" t="n">
        <f aca="false">Y9*Y10</f>
        <v>121075.5</v>
      </c>
      <c r="Z11" s="17" t="n">
        <f aca="false">Z9*Z10</f>
        <v>121075.5</v>
      </c>
      <c r="AA11" s="17" t="n">
        <f aca="false">AA9*AA10</f>
        <v>126841</v>
      </c>
      <c r="AB11" s="17" t="n">
        <f aca="false">AB9*AB10</f>
        <v>126841</v>
      </c>
      <c r="AC11" s="17" t="n">
        <f aca="false">AC9*AC10</f>
        <v>132606.5</v>
      </c>
      <c r="AD11" s="17" t="n">
        <f aca="false">AD9*AD10</f>
        <v>132606.5</v>
      </c>
      <c r="AE11" s="17" t="n">
        <f aca="false">AE9*AE10</f>
        <v>138372</v>
      </c>
      <c r="AF11" s="17" t="n">
        <f aca="false">AF9*AF10</f>
        <v>138372</v>
      </c>
      <c r="AG11" s="17" t="n">
        <f aca="false">AG9*AG10</f>
        <v>138372</v>
      </c>
      <c r="AH11" s="17" t="n">
        <f aca="false">AH9*AH10</f>
        <v>138372</v>
      </c>
      <c r="AI11" s="17" t="n">
        <f aca="false">AI9*AI10</f>
        <v>138372</v>
      </c>
      <c r="AJ11" s="17" t="n">
        <f aca="false">AJ9*AJ10</f>
        <v>138372</v>
      </c>
      <c r="AK11" s="17" t="n">
        <f aca="false">AK9*AK10</f>
        <v>138372</v>
      </c>
      <c r="AL11" s="17" t="n">
        <f aca="false">SUM(B11:AK11)</f>
        <v>3358683.155</v>
      </c>
    </row>
    <row r="12" customFormat="false" ht="15" hidden="false" customHeight="true" outlineLevel="0" collapsed="false">
      <c r="A12" s="8" t="s">
        <v>326</v>
      </c>
      <c r="B12" s="17" t="n">
        <f aca="false">IF(B16&lt;40,'Экономика дня'!$B$14,'Экономика дня'!$C$14)</f>
        <v>30.2098</v>
      </c>
      <c r="C12" s="17" t="n">
        <f aca="false">IF(C16&lt;40,'Экономика дня'!$B$14,'Экономика дня'!$C$14)</f>
        <v>30.2098</v>
      </c>
      <c r="D12" s="17" t="n">
        <f aca="false">IF(D16&lt;40,'Экономика дня'!$B$14,'Экономика дня'!$C$14)</f>
        <v>30.2098</v>
      </c>
      <c r="E12" s="17" t="n">
        <f aca="false">IF(E16&lt;40,'Экономика дня'!$B$14,'Экономика дня'!$C$14)</f>
        <v>30.2098</v>
      </c>
      <c r="F12" s="17" t="n">
        <f aca="false">IF(F16&lt;40,'Экономика дня'!$B$14,'Экономика дня'!$C$14)</f>
        <v>30.2098</v>
      </c>
      <c r="G12" s="17" t="n">
        <f aca="false">IF(G16&lt;40,'Экономика дня'!$B$14,'Экономика дня'!$C$14)</f>
        <v>30.2098</v>
      </c>
      <c r="H12" s="17" t="n">
        <f aca="false">IF(H16&lt;40,'Экономика дня'!$B$14,'Экономика дня'!$C$14)</f>
        <v>30.2098</v>
      </c>
      <c r="I12" s="17" t="n">
        <f aca="false">IF(I16&lt;40,'Экономика дня'!$B$14,'Экономика дня'!$C$14)</f>
        <v>30.2098</v>
      </c>
      <c r="J12" s="17" t="n">
        <f aca="false">IF(J16&lt;40,'Экономика дня'!$B$14,'Экономика дня'!$C$14)</f>
        <v>30.2098</v>
      </c>
      <c r="K12" s="17" t="n">
        <f aca="false">IF(K16&lt;40,'Экономика дня'!$B$14,'Экономика дня'!$C$14)</f>
        <v>30.2098</v>
      </c>
      <c r="L12" s="17" t="n">
        <f aca="false">IF(L16&lt;40,'Экономика дня'!$B$14,'Экономика дня'!$C$14)</f>
        <v>30.2098</v>
      </c>
      <c r="M12" s="17" t="n">
        <f aca="false">IF(M16&lt;40,'Экономика дня'!$B$14,'Экономика дня'!$C$14)</f>
        <v>30.2098</v>
      </c>
      <c r="N12" s="17" t="n">
        <f aca="false">IF(N16&lt;40,'Экономика дня'!$B$14,'Экономика дня'!$C$14)</f>
        <v>30.2098</v>
      </c>
      <c r="O12" s="17" t="n">
        <f aca="false">IF(O16&lt;40,'Экономика дня'!$B$14,'Экономика дня'!$C$14)</f>
        <v>30.2098</v>
      </c>
      <c r="P12" s="17" t="n">
        <f aca="false">IF(P16&lt;40,'Экономика дня'!$B$14,'Экономика дня'!$C$14)</f>
        <v>30.2098</v>
      </c>
      <c r="Q12" s="17" t="n">
        <f aca="false">IF(Q16&lt;40,'Экономика дня'!$B$14,'Экономика дня'!$C$14)</f>
        <v>30.2098</v>
      </c>
      <c r="R12" s="17" t="n">
        <f aca="false">IF(R16&lt;40,'Экономика дня'!$B$14,'Экономика дня'!$C$14)</f>
        <v>30.2098</v>
      </c>
      <c r="S12" s="17" t="n">
        <f aca="false">IF(S16&lt;40,'Экономика дня'!$B$14,'Экономика дня'!$C$14)</f>
        <v>30.2098</v>
      </c>
      <c r="T12" s="17" t="n">
        <f aca="false">IF(T16&lt;40,'Экономика дня'!$B$14,'Экономика дня'!$C$14)</f>
        <v>30.2098</v>
      </c>
      <c r="U12" s="17" t="n">
        <f aca="false">IF(U16&lt;40,'Экономика дня'!$B$14,'Экономика дня'!$C$14)</f>
        <v>30.2098</v>
      </c>
      <c r="V12" s="17" t="n">
        <f aca="false">IF(V16&lt;40,'Экономика дня'!$B$14,'Экономика дня'!$C$14)</f>
        <v>30.2098</v>
      </c>
      <c r="W12" s="17" t="n">
        <f aca="false">IF(W16&lt;40,'Экономика дня'!$B$14,'Экономика дня'!$C$14)</f>
        <v>30.2098</v>
      </c>
      <c r="X12" s="17" t="n">
        <f aca="false">IF(X16&lt;40,'Экономика дня'!$B$14,'Экономика дня'!$C$14)</f>
        <v>30.2098</v>
      </c>
      <c r="Y12" s="17" t="n">
        <f aca="false">IF(Y16&lt;40,'Экономика дня'!$B$14,'Экономика дня'!$C$14)</f>
        <v>30.2098</v>
      </c>
      <c r="Z12" s="17" t="n">
        <f aca="false">IF(Z16&lt;40,'Экономика дня'!$B$14,'Экономика дня'!$C$14)</f>
        <v>30.2098</v>
      </c>
      <c r="AA12" s="17" t="n">
        <f aca="false">IF(AA16&lt;40,'Экономика дня'!$B$14,'Экономика дня'!$C$14)</f>
        <v>30.2098</v>
      </c>
      <c r="AB12" s="17" t="n">
        <f aca="false">IF(AB16&lt;40,'Экономика дня'!$B$14,'Экономика дня'!$C$14)</f>
        <v>30.2098</v>
      </c>
      <c r="AC12" s="17" t="n">
        <f aca="false">IF(AC16&lt;40,'Экономика дня'!$B$14,'Экономика дня'!$C$14)</f>
        <v>30.2098</v>
      </c>
      <c r="AD12" s="17" t="n">
        <f aca="false">IF(AD16&lt;40,'Экономика дня'!$B$14,'Экономика дня'!$C$14)</f>
        <v>30.2098</v>
      </c>
      <c r="AE12" s="17" t="n">
        <f aca="false">IF(AE16&lt;40,'Экономика дня'!$B$14,'Экономика дня'!$C$14)</f>
        <v>30.2098</v>
      </c>
      <c r="AF12" s="17" t="n">
        <f aca="false">IF(AF16&lt;40,'Экономика дня'!$B$14,'Экономика дня'!$C$14)</f>
        <v>30.2098</v>
      </c>
      <c r="AG12" s="17" t="n">
        <f aca="false">IF(AG16&lt;40,'Экономика дня'!$B$14,'Экономика дня'!$C$14)</f>
        <v>30.2098</v>
      </c>
      <c r="AH12" s="17" t="n">
        <f aca="false">IF(AH16&lt;40,'Экономика дня'!$B$14,'Экономика дня'!$C$14)</f>
        <v>30.2098</v>
      </c>
      <c r="AI12" s="17" t="n">
        <f aca="false">IF(AI16&lt;40,'Экономика дня'!$B$14,'Экономика дня'!$C$14)</f>
        <v>30.2098</v>
      </c>
      <c r="AJ12" s="17" t="n">
        <f aca="false">IF(AJ16&lt;40,'Экономика дня'!$B$14,'Экономика дня'!$C$14)</f>
        <v>30.2098</v>
      </c>
      <c r="AK12" s="17" t="n">
        <f aca="false">IF(AK16&lt;40,'Экономика дня'!$B$14,'Экономика дня'!$C$14)</f>
        <v>30.2098</v>
      </c>
      <c r="AL12" s="17" t="n">
        <f aca="false">AVERAGE(B12:AK12)</f>
        <v>30.2098</v>
      </c>
    </row>
    <row r="13" customFormat="false" ht="21.75" hidden="false" customHeight="true" outlineLevel="0" collapsed="false">
      <c r="A13" s="8" t="s">
        <v>106</v>
      </c>
      <c r="B13" s="17" t="n">
        <f aca="false">B9*B12</f>
        <v>5498.1836</v>
      </c>
      <c r="C13" s="17" t="n">
        <f aca="false">C9*C12</f>
        <v>9038.77216</v>
      </c>
      <c r="D13" s="17" t="n">
        <f aca="false">D9*D12</f>
        <v>12291.159228</v>
      </c>
      <c r="E13" s="17" t="n">
        <f aca="false">E9*E12</f>
        <v>15933.252716</v>
      </c>
      <c r="F13" s="17" t="n">
        <f aca="false">F9*F12</f>
        <v>20018.221872</v>
      </c>
      <c r="G13" s="17" t="n">
        <f aca="false">G9*G12</f>
        <v>25059.633296</v>
      </c>
      <c r="H13" s="17" t="n">
        <f aca="false">H9*H12</f>
        <v>30063.584568</v>
      </c>
      <c r="I13" s="17" t="n">
        <f aca="false">I9*I12</f>
        <v>35282.02542</v>
      </c>
      <c r="J13" s="17" t="n">
        <f aca="false">J9*J12</f>
        <v>40135.985035</v>
      </c>
      <c r="K13" s="17" t="n">
        <f aca="false">K9*K12</f>
        <v>45045.077535</v>
      </c>
      <c r="L13" s="17" t="n">
        <f aca="false">L9*L12</f>
        <v>50099.93232</v>
      </c>
      <c r="M13" s="17" t="n">
        <f aca="false">M9*M12</f>
        <v>55360.96899</v>
      </c>
      <c r="N13" s="17" t="n">
        <f aca="false">N9*N12</f>
        <v>58909.11</v>
      </c>
      <c r="O13" s="17" t="n">
        <f aca="false">O9*O12</f>
        <v>62836.384</v>
      </c>
      <c r="P13" s="17" t="n">
        <f aca="false">P9*P12</f>
        <v>62836.384</v>
      </c>
      <c r="Q13" s="17" t="n">
        <f aca="false">Q9*Q12</f>
        <v>66763.658</v>
      </c>
      <c r="R13" s="17" t="n">
        <f aca="false">R9*R12</f>
        <v>66763.658</v>
      </c>
      <c r="S13" s="17" t="n">
        <f aca="false">S9*S12</f>
        <v>70690.932</v>
      </c>
      <c r="T13" s="17" t="n">
        <f aca="false">T9*T12</f>
        <v>70690.932</v>
      </c>
      <c r="U13" s="17" t="n">
        <f aca="false">U9*U12</f>
        <v>74618.206</v>
      </c>
      <c r="V13" s="17" t="n">
        <f aca="false">V9*V12</f>
        <v>74618.206</v>
      </c>
      <c r="W13" s="17" t="n">
        <f aca="false">W9*W12</f>
        <v>78545.48</v>
      </c>
      <c r="X13" s="17" t="n">
        <f aca="false">X9*X12</f>
        <v>78545.48</v>
      </c>
      <c r="Y13" s="17" t="n">
        <f aca="false">Y9*Y12</f>
        <v>82472.754</v>
      </c>
      <c r="Z13" s="17" t="n">
        <f aca="false">Z9*Z12</f>
        <v>82472.754</v>
      </c>
      <c r="AA13" s="17" t="n">
        <f aca="false">AA9*AA12</f>
        <v>86400.028</v>
      </c>
      <c r="AB13" s="17" t="n">
        <f aca="false">AB9*AB12</f>
        <v>86400.028</v>
      </c>
      <c r="AC13" s="17" t="n">
        <f aca="false">AC9*AC12</f>
        <v>90327.302</v>
      </c>
      <c r="AD13" s="17" t="n">
        <f aca="false">AD9*AD12</f>
        <v>90327.302</v>
      </c>
      <c r="AE13" s="17" t="n">
        <f aca="false">AE9*AE12</f>
        <v>94254.576</v>
      </c>
      <c r="AF13" s="17" t="n">
        <f aca="false">AF9*AF12</f>
        <v>94254.576</v>
      </c>
      <c r="AG13" s="17" t="n">
        <f aca="false">AG9*AG12</f>
        <v>94254.576</v>
      </c>
      <c r="AH13" s="17" t="n">
        <f aca="false">AH9*AH12</f>
        <v>94254.576</v>
      </c>
      <c r="AI13" s="17" t="n">
        <f aca="false">AI9*AI12</f>
        <v>94254.576</v>
      </c>
      <c r="AJ13" s="17" t="n">
        <f aca="false">AJ9*AJ12</f>
        <v>94254.576</v>
      </c>
      <c r="AK13" s="17" t="n">
        <f aca="false">AK9*AK12</f>
        <v>94254.576</v>
      </c>
      <c r="AL13" s="17" t="n">
        <f aca="false">SUM(B13:AK13)</f>
        <v>2287827.42674</v>
      </c>
    </row>
    <row r="14" customFormat="false" ht="21.75" hidden="false" customHeight="true" outlineLevel="0" collapsed="false">
      <c r="A14" s="8" t="s">
        <v>107</v>
      </c>
      <c r="B14" s="17" t="n">
        <f aca="false">B11-B13</f>
        <v>2573.5164</v>
      </c>
      <c r="C14" s="17" t="n">
        <f aca="false">C11-C13</f>
        <v>4230.74784</v>
      </c>
      <c r="D14" s="17" t="n">
        <f aca="false">D11-D13</f>
        <v>5753.081772</v>
      </c>
      <c r="E14" s="17" t="n">
        <f aca="false">E11-E13</f>
        <v>7457.824284</v>
      </c>
      <c r="F14" s="17" t="n">
        <f aca="false">F11-F13</f>
        <v>9369.862128</v>
      </c>
      <c r="G14" s="17" t="n">
        <f aca="false">G11-G13</f>
        <v>11729.578704</v>
      </c>
      <c r="H14" s="17" t="n">
        <f aca="false">H11-H13</f>
        <v>14071.761432</v>
      </c>
      <c r="I14" s="17" t="n">
        <f aca="false">I11-I13</f>
        <v>16514.33958</v>
      </c>
      <c r="J14" s="17" t="n">
        <f aca="false">J11-J13</f>
        <v>18786.316215</v>
      </c>
      <c r="K14" s="17" t="n">
        <f aca="false">K11-K13</f>
        <v>21084.098715</v>
      </c>
      <c r="L14" s="17" t="n">
        <f aca="false">L11-L13</f>
        <v>23450.10768</v>
      </c>
      <c r="M14" s="17" t="n">
        <f aca="false">M11-M13</f>
        <v>25912.62351</v>
      </c>
      <c r="N14" s="17" t="n">
        <f aca="false">N11-N13</f>
        <v>27573.39</v>
      </c>
      <c r="O14" s="17" t="n">
        <f aca="false">O11-O13</f>
        <v>29411.616</v>
      </c>
      <c r="P14" s="17" t="n">
        <f aca="false">P11-P13</f>
        <v>29411.616</v>
      </c>
      <c r="Q14" s="17" t="n">
        <f aca="false">Q11-Q13</f>
        <v>31249.842</v>
      </c>
      <c r="R14" s="17" t="n">
        <f aca="false">R11-R13</f>
        <v>31249.842</v>
      </c>
      <c r="S14" s="17" t="n">
        <f aca="false">S11-S13</f>
        <v>33088.068</v>
      </c>
      <c r="T14" s="17" t="n">
        <f aca="false">T11-T13</f>
        <v>33088.068</v>
      </c>
      <c r="U14" s="17" t="n">
        <f aca="false">U11-U13</f>
        <v>34926.294</v>
      </c>
      <c r="V14" s="17" t="n">
        <f aca="false">V11-V13</f>
        <v>34926.294</v>
      </c>
      <c r="W14" s="17" t="n">
        <f aca="false">W11-W13</f>
        <v>36764.52</v>
      </c>
      <c r="X14" s="17" t="n">
        <f aca="false">X11-X13</f>
        <v>36764.52</v>
      </c>
      <c r="Y14" s="17" t="n">
        <f aca="false">Y11-Y13</f>
        <v>38602.746</v>
      </c>
      <c r="Z14" s="17" t="n">
        <f aca="false">Z11-Z13</f>
        <v>38602.746</v>
      </c>
      <c r="AA14" s="17" t="n">
        <f aca="false">AA11-AA13</f>
        <v>40440.972</v>
      </c>
      <c r="AB14" s="17" t="n">
        <f aca="false">AB11-AB13</f>
        <v>40440.972</v>
      </c>
      <c r="AC14" s="17" t="n">
        <f aca="false">AC11-AC13</f>
        <v>42279.198</v>
      </c>
      <c r="AD14" s="17" t="n">
        <f aca="false">AD11-AD13</f>
        <v>42279.198</v>
      </c>
      <c r="AE14" s="17" t="n">
        <f aca="false">AE11-AE13</f>
        <v>44117.424</v>
      </c>
      <c r="AF14" s="17" t="n">
        <f aca="false">AF11-AF13</f>
        <v>44117.424</v>
      </c>
      <c r="AG14" s="17" t="n">
        <f aca="false">AG11-AG13</f>
        <v>44117.424</v>
      </c>
      <c r="AH14" s="17" t="n">
        <f aca="false">AH11-AH13</f>
        <v>44117.424</v>
      </c>
      <c r="AI14" s="17" t="n">
        <f aca="false">AI11-AI13</f>
        <v>44117.424</v>
      </c>
      <c r="AJ14" s="17" t="n">
        <f aca="false">AJ11-AJ13</f>
        <v>44117.424</v>
      </c>
      <c r="AK14" s="17" t="n">
        <f aca="false">AK11-AK13</f>
        <v>44117.424</v>
      </c>
      <c r="AL14" s="17" t="n">
        <f aca="false">SUM(B14:AK14)</f>
        <v>1070855.72826</v>
      </c>
    </row>
    <row r="15" customFormat="false" ht="15" hidden="false" customHeight="true" outlineLevel="0" collapsed="false">
      <c r="A15" s="8" t="s">
        <v>108</v>
      </c>
      <c r="B15" s="18" t="n">
        <f aca="false">B14/B11</f>
        <v>0.318832018038331</v>
      </c>
      <c r="C15" s="18" t="n">
        <f aca="false">C14/C11</f>
        <v>0.318832018038331</v>
      </c>
      <c r="D15" s="18" t="n">
        <f aca="false">D14/D11</f>
        <v>0.318832018038332</v>
      </c>
      <c r="E15" s="18" t="n">
        <f aca="false">E14/E11</f>
        <v>0.318832018038332</v>
      </c>
      <c r="F15" s="18" t="n">
        <f aca="false">F14/F11</f>
        <v>0.318832018038331</v>
      </c>
      <c r="G15" s="18" t="n">
        <f aca="false">G14/G11</f>
        <v>0.318832018038331</v>
      </c>
      <c r="H15" s="18" t="n">
        <f aca="false">H14/H11</f>
        <v>0.318832018038331</v>
      </c>
      <c r="I15" s="18" t="n">
        <f aca="false">I14/I11</f>
        <v>0.318832018038331</v>
      </c>
      <c r="J15" s="18" t="n">
        <f aca="false">J14/J11</f>
        <v>0.318832018038331</v>
      </c>
      <c r="K15" s="18" t="n">
        <f aca="false">K14/K11</f>
        <v>0.318832018038332</v>
      </c>
      <c r="L15" s="18" t="n">
        <f aca="false">L14/L11</f>
        <v>0.318832018038331</v>
      </c>
      <c r="M15" s="18" t="n">
        <f aca="false">M14/M11</f>
        <v>0.318832018038331</v>
      </c>
      <c r="N15" s="18" t="n">
        <f aca="false">N14/N11</f>
        <v>0.318832018038331</v>
      </c>
      <c r="O15" s="18" t="n">
        <f aca="false">O14/O11</f>
        <v>0.318832018038331</v>
      </c>
      <c r="P15" s="18" t="n">
        <f aca="false">P14/P11</f>
        <v>0.318832018038331</v>
      </c>
      <c r="Q15" s="18" t="n">
        <f aca="false">Q14/Q11</f>
        <v>0.318832018038332</v>
      </c>
      <c r="R15" s="18" t="n">
        <f aca="false">R14/R11</f>
        <v>0.318832018038332</v>
      </c>
      <c r="S15" s="18" t="n">
        <f aca="false">S14/S11</f>
        <v>0.318832018038331</v>
      </c>
      <c r="T15" s="18" t="n">
        <f aca="false">T14/T11</f>
        <v>0.318832018038331</v>
      </c>
      <c r="U15" s="18" t="n">
        <f aca="false">U14/U11</f>
        <v>0.318832018038331</v>
      </c>
      <c r="V15" s="18" t="n">
        <f aca="false">V14/V11</f>
        <v>0.318832018038331</v>
      </c>
      <c r="W15" s="18" t="n">
        <f aca="false">W14/W11</f>
        <v>0.318832018038331</v>
      </c>
      <c r="X15" s="18" t="n">
        <f aca="false">X14/X11</f>
        <v>0.318832018038331</v>
      </c>
      <c r="Y15" s="18" t="n">
        <f aca="false">Y14/Y11</f>
        <v>0.318832018038331</v>
      </c>
      <c r="Z15" s="18" t="n">
        <f aca="false">Z14/Z11</f>
        <v>0.318832018038331</v>
      </c>
      <c r="AA15" s="18" t="n">
        <f aca="false">AA14/AA11</f>
        <v>0.318832018038331</v>
      </c>
      <c r="AB15" s="18" t="n">
        <f aca="false">AB14/AB11</f>
        <v>0.318832018038331</v>
      </c>
      <c r="AC15" s="18" t="n">
        <f aca="false">AC14/AC11</f>
        <v>0.318832018038331</v>
      </c>
      <c r="AD15" s="18" t="n">
        <f aca="false">AD14/AD11</f>
        <v>0.318832018038331</v>
      </c>
      <c r="AE15" s="18" t="n">
        <f aca="false">AE14/AE11</f>
        <v>0.318832018038331</v>
      </c>
      <c r="AF15" s="18" t="n">
        <f aca="false">AF14/AF11</f>
        <v>0.318832018038331</v>
      </c>
      <c r="AG15" s="18" t="n">
        <f aca="false">AG14/AG11</f>
        <v>0.318832018038331</v>
      </c>
      <c r="AH15" s="18" t="n">
        <f aca="false">AH14/AH11</f>
        <v>0.318832018038331</v>
      </c>
      <c r="AI15" s="18" t="n">
        <f aca="false">AI14/AI11</f>
        <v>0.318832018038331</v>
      </c>
      <c r="AJ15" s="18" t="n">
        <f aca="false">AJ14/AJ11</f>
        <v>0.318832018038331</v>
      </c>
      <c r="AK15" s="18" t="n">
        <f aca="false">AK14/AK11</f>
        <v>0.318832018038331</v>
      </c>
      <c r="AL15" s="18" t="n">
        <f aca="false">AVERAGE(B15:AK15)</f>
        <v>0.318832018038331</v>
      </c>
    </row>
    <row r="16" customFormat="false" ht="21.75" hidden="false" customHeight="true" outlineLevel="0" collapsed="false">
      <c r="A16" s="8" t="s">
        <v>327</v>
      </c>
      <c r="B16" s="26" t="n">
        <v>7000</v>
      </c>
      <c r="C16" s="26" t="n">
        <v>7000</v>
      </c>
      <c r="D16" s="26" t="n">
        <v>7000</v>
      </c>
      <c r="E16" s="26" t="n">
        <v>9000</v>
      </c>
      <c r="F16" s="26" t="n">
        <v>9000</v>
      </c>
      <c r="G16" s="26" t="n">
        <v>9000</v>
      </c>
      <c r="H16" s="26" t="n">
        <v>12000</v>
      </c>
      <c r="I16" s="26" t="n">
        <v>12000</v>
      </c>
      <c r="J16" s="26" t="n">
        <v>12000</v>
      </c>
      <c r="K16" s="26" t="n">
        <v>12000</v>
      </c>
      <c r="L16" s="26" t="n">
        <v>12000</v>
      </c>
      <c r="M16" s="26" t="n">
        <v>12000</v>
      </c>
      <c r="N16" s="26" t="n">
        <v>15000</v>
      </c>
      <c r="O16" s="26" t="n">
        <v>15000</v>
      </c>
      <c r="P16" s="26" t="n">
        <v>15000</v>
      </c>
      <c r="Q16" s="26" t="n">
        <v>15000</v>
      </c>
      <c r="R16" s="26" t="n">
        <v>15000</v>
      </c>
      <c r="S16" s="26" t="n">
        <v>15000</v>
      </c>
      <c r="T16" s="26" t="n">
        <v>15000</v>
      </c>
      <c r="U16" s="26" t="n">
        <v>15000</v>
      </c>
      <c r="V16" s="26" t="n">
        <v>15000</v>
      </c>
      <c r="W16" s="26" t="n">
        <v>15000</v>
      </c>
      <c r="X16" s="26" t="n">
        <v>15000</v>
      </c>
      <c r="Y16" s="26" t="n">
        <v>15000</v>
      </c>
      <c r="Z16" s="26" t="n">
        <v>18000</v>
      </c>
      <c r="AA16" s="26" t="n">
        <v>18000</v>
      </c>
      <c r="AB16" s="26" t="n">
        <v>18000</v>
      </c>
      <c r="AC16" s="26" t="n">
        <v>18000</v>
      </c>
      <c r="AD16" s="26" t="n">
        <v>18000</v>
      </c>
      <c r="AE16" s="26" t="n">
        <v>18000</v>
      </c>
      <c r="AF16" s="26" t="n">
        <v>18000</v>
      </c>
      <c r="AG16" s="26" t="n">
        <v>18000</v>
      </c>
      <c r="AH16" s="26" t="n">
        <v>18000</v>
      </c>
      <c r="AI16" s="26" t="n">
        <v>18000</v>
      </c>
      <c r="AJ16" s="26" t="n">
        <v>18000</v>
      </c>
      <c r="AK16" s="26" t="n">
        <v>18000</v>
      </c>
      <c r="AL16" s="17" t="n">
        <f aca="false">SUM(B16:AK16)</f>
        <v>516000</v>
      </c>
    </row>
    <row r="17" customFormat="false" ht="21.75" hidden="false" customHeight="true" outlineLevel="0" collapsed="false">
      <c r="A17" s="8" t="s">
        <v>328</v>
      </c>
      <c r="B17" s="17" t="n">
        <f aca="false">'Воронка продаж'!B5</f>
        <v>800</v>
      </c>
      <c r="C17" s="17" t="n">
        <f aca="false">'Воронка продаж'!C5</f>
        <v>1000</v>
      </c>
      <c r="D17" s="17" t="n">
        <f aca="false">'Воронка продаж'!D5</f>
        <v>1200</v>
      </c>
      <c r="E17" s="17" t="n">
        <f aca="false">'Воронка продаж'!E5</f>
        <v>1500</v>
      </c>
      <c r="F17" s="17" t="n">
        <f aca="false">'Воронка продаж'!F5</f>
        <v>1800</v>
      </c>
      <c r="G17" s="17" t="n">
        <f aca="false">'Воронка продаж'!G5</f>
        <v>2200</v>
      </c>
      <c r="H17" s="17" t="n">
        <f aca="false">'Воронка продаж'!H5</f>
        <v>2500</v>
      </c>
      <c r="I17" s="17" t="n">
        <f aca="false">'Воронка продаж'!I5</f>
        <v>2800</v>
      </c>
      <c r="J17" s="17" t="n">
        <f aca="false">'Воронка продаж'!J5</f>
        <v>3000</v>
      </c>
      <c r="K17" s="17" t="n">
        <f aca="false">'Воронка продаж'!K5</f>
        <v>3200</v>
      </c>
      <c r="L17" s="17" t="n">
        <f aca="false">'Воронка продаж'!L5</f>
        <v>3400</v>
      </c>
      <c r="M17" s="17" t="n">
        <f aca="false">'Воронка продаж'!M5</f>
        <v>3600</v>
      </c>
      <c r="N17" s="17" t="n">
        <f aca="false">'Воронка продаж'!N5</f>
        <v>3800</v>
      </c>
      <c r="O17" s="17" t="n">
        <f aca="false">'Воронка продаж'!O5</f>
        <v>3800</v>
      </c>
      <c r="P17" s="17" t="n">
        <f aca="false">'Воронка продаж'!P5</f>
        <v>3800</v>
      </c>
      <c r="Q17" s="17" t="n">
        <f aca="false">'Воронка продаж'!Q5</f>
        <v>3800</v>
      </c>
      <c r="R17" s="17" t="n">
        <f aca="false">'Воронка продаж'!R5</f>
        <v>3800</v>
      </c>
      <c r="S17" s="17" t="n">
        <f aca="false">'Воронка продаж'!S5</f>
        <v>3800</v>
      </c>
      <c r="T17" s="17" t="n">
        <f aca="false">'Воронка продаж'!T5</f>
        <v>3800</v>
      </c>
      <c r="U17" s="17" t="n">
        <f aca="false">'Воронка продаж'!U5</f>
        <v>3800</v>
      </c>
      <c r="V17" s="17" t="n">
        <f aca="false">'Воронка продаж'!V5</f>
        <v>3800</v>
      </c>
      <c r="W17" s="17" t="n">
        <f aca="false">'Воронка продаж'!W5</f>
        <v>3800</v>
      </c>
      <c r="X17" s="17" t="n">
        <f aca="false">'Воронка продаж'!X5</f>
        <v>3800</v>
      </c>
      <c r="Y17" s="17" t="n">
        <f aca="false">'Воронка продаж'!Y5</f>
        <v>3800</v>
      </c>
      <c r="Z17" s="17" t="n">
        <f aca="false">'Воронка продаж'!Z5</f>
        <v>4200</v>
      </c>
      <c r="AA17" s="17" t="n">
        <f aca="false">'Воронка продаж'!AA5</f>
        <v>4200</v>
      </c>
      <c r="AB17" s="17" t="n">
        <f aca="false">'Воронка продаж'!AB5</f>
        <v>4200</v>
      </c>
      <c r="AC17" s="17" t="n">
        <f aca="false">'Воронка продаж'!AC5</f>
        <v>4200</v>
      </c>
      <c r="AD17" s="17" t="n">
        <f aca="false">'Воронка продаж'!AD5</f>
        <v>4200</v>
      </c>
      <c r="AE17" s="17" t="n">
        <f aca="false">'Воронка продаж'!AE5</f>
        <v>4200</v>
      </c>
      <c r="AF17" s="17" t="n">
        <f aca="false">'Воронка продаж'!AF5</f>
        <v>4200</v>
      </c>
      <c r="AG17" s="17" t="n">
        <f aca="false">'Воронка продаж'!AG5</f>
        <v>4200</v>
      </c>
      <c r="AH17" s="17" t="n">
        <f aca="false">'Воронка продаж'!AH5</f>
        <v>4200</v>
      </c>
      <c r="AI17" s="17" t="n">
        <f aca="false">'Воронка продаж'!AI5</f>
        <v>4200</v>
      </c>
      <c r="AJ17" s="17" t="n">
        <f aca="false">'Воронка продаж'!AJ5</f>
        <v>4200</v>
      </c>
      <c r="AK17" s="17" t="n">
        <f aca="false">'Воронка продаж'!AK5</f>
        <v>4200</v>
      </c>
      <c r="AL17" s="17" t="n">
        <f aca="false">SUM(B17:AK17)</f>
        <v>123000</v>
      </c>
    </row>
    <row r="18" customFormat="false" ht="21.75" hidden="false" customHeight="true" outlineLevel="0" collapsed="false">
      <c r="A18" s="8" t="s">
        <v>329</v>
      </c>
      <c r="B18" s="17" t="n">
        <f aca="false">B14-B16-B17</f>
        <v>-5226.4836</v>
      </c>
      <c r="C18" s="17" t="n">
        <f aca="false">C14-C16-C17</f>
        <v>-3769.25216</v>
      </c>
      <c r="D18" s="17" t="n">
        <f aca="false">D14-D16-D17</f>
        <v>-2446.918228</v>
      </c>
      <c r="E18" s="17" t="n">
        <f aca="false">E14-E16-E17</f>
        <v>-3042.175716</v>
      </c>
      <c r="F18" s="17" t="n">
        <f aca="false">F14-F16-F17</f>
        <v>-1430.137872</v>
      </c>
      <c r="G18" s="17" t="n">
        <f aca="false">G14-G16-G17</f>
        <v>529.578704</v>
      </c>
      <c r="H18" s="17" t="n">
        <f aca="false">H14-H16-H17</f>
        <v>-428.238568000001</v>
      </c>
      <c r="I18" s="17" t="n">
        <f aca="false">I14-I16-I17</f>
        <v>1714.33958</v>
      </c>
      <c r="J18" s="17" t="n">
        <f aca="false">J14-J16-J17</f>
        <v>3786.316215</v>
      </c>
      <c r="K18" s="17" t="n">
        <f aca="false">K14-K16-K17</f>
        <v>5884.09871500001</v>
      </c>
      <c r="L18" s="17" t="n">
        <f aca="false">L14-L16-L17</f>
        <v>8050.10768</v>
      </c>
      <c r="M18" s="17" t="n">
        <f aca="false">M14-M16-M17</f>
        <v>10312.62351</v>
      </c>
      <c r="N18" s="17" t="n">
        <f aca="false">N14-N16-N17</f>
        <v>8773.39</v>
      </c>
      <c r="O18" s="17" t="n">
        <f aca="false">O14-O16-O17</f>
        <v>10611.616</v>
      </c>
      <c r="P18" s="17" t="n">
        <f aca="false">P14-P16-P17</f>
        <v>10611.616</v>
      </c>
      <c r="Q18" s="17" t="n">
        <f aca="false">Q14-Q16-Q17</f>
        <v>12449.842</v>
      </c>
      <c r="R18" s="17" t="n">
        <f aca="false">R14-R16-R17</f>
        <v>12449.842</v>
      </c>
      <c r="S18" s="17" t="n">
        <f aca="false">S14-S16-S17</f>
        <v>14288.068</v>
      </c>
      <c r="T18" s="17" t="n">
        <f aca="false">T14-T16-T17</f>
        <v>14288.068</v>
      </c>
      <c r="U18" s="17" t="n">
        <f aca="false">U14-U16-U17</f>
        <v>16126.294</v>
      </c>
      <c r="V18" s="17" t="n">
        <f aca="false">V14-V16-V17</f>
        <v>16126.294</v>
      </c>
      <c r="W18" s="17" t="n">
        <f aca="false">W14-W16-W17</f>
        <v>17964.52</v>
      </c>
      <c r="X18" s="17" t="n">
        <f aca="false">X14-X16-X17</f>
        <v>17964.52</v>
      </c>
      <c r="Y18" s="17" t="n">
        <f aca="false">Y14-Y16-Y17</f>
        <v>19802.746</v>
      </c>
      <c r="Z18" s="17" t="n">
        <f aca="false">Z14-Z16-Z17</f>
        <v>16402.746</v>
      </c>
      <c r="AA18" s="17" t="n">
        <f aca="false">AA14-AA16-AA17</f>
        <v>18240.972</v>
      </c>
      <c r="AB18" s="17" t="n">
        <f aca="false">AB14-AB16-AB17</f>
        <v>18240.972</v>
      </c>
      <c r="AC18" s="17" t="n">
        <f aca="false">AC14-AC16-AC17</f>
        <v>20079.198</v>
      </c>
      <c r="AD18" s="17" t="n">
        <f aca="false">AD14-AD16-AD17</f>
        <v>20079.198</v>
      </c>
      <c r="AE18" s="17" t="n">
        <f aca="false">AE14-AE16-AE17</f>
        <v>21917.424</v>
      </c>
      <c r="AF18" s="17" t="n">
        <f aca="false">AF14-AF16-AF17</f>
        <v>21917.424</v>
      </c>
      <c r="AG18" s="17" t="n">
        <f aca="false">AG14-AG16-AG17</f>
        <v>21917.424</v>
      </c>
      <c r="AH18" s="17" t="n">
        <f aca="false">AH14-AH16-AH17</f>
        <v>21917.424</v>
      </c>
      <c r="AI18" s="17" t="n">
        <f aca="false">AI14-AI16-AI17</f>
        <v>21917.424</v>
      </c>
      <c r="AJ18" s="17" t="n">
        <f aca="false">AJ14-AJ16-AJ17</f>
        <v>21917.424</v>
      </c>
      <c r="AK18" s="17" t="n">
        <f aca="false">AK14-AK16-AK17</f>
        <v>21917.424</v>
      </c>
      <c r="AL18" s="17" t="n">
        <f aca="false">SUM(B18:AK18)</f>
        <v>431855.72826</v>
      </c>
    </row>
    <row r="19" customFormat="false" ht="15" hidden="false" customHeight="true" outlineLevel="0" collapsed="false">
      <c r="A19" s="8" t="s">
        <v>330</v>
      </c>
      <c r="B19" s="18" t="n">
        <f aca="false">B18/B11</f>
        <v>-0.647507167015622</v>
      </c>
      <c r="C19" s="18" t="n">
        <f aca="false">C18/C11</f>
        <v>-0.284053391531872</v>
      </c>
      <c r="D19" s="18" t="n">
        <f aca="false">D18/D11</f>
        <v>-0.135606603126172</v>
      </c>
      <c r="E19" s="18" t="n">
        <f aca="false">E18/E11</f>
        <v>-0.130057103227868</v>
      </c>
      <c r="F19" s="18" t="n">
        <f aca="false">F18/F11</f>
        <v>-0.0486638690701986</v>
      </c>
      <c r="G19" s="18" t="n">
        <f aca="false">G18/G11</f>
        <v>0.0143949455617587</v>
      </c>
      <c r="H19" s="18" t="n">
        <f aca="false">H18/H11</f>
        <v>-0.00970284832478714</v>
      </c>
      <c r="I19" s="18" t="n">
        <f aca="false">I18/I11</f>
        <v>0.0330976812755104</v>
      </c>
      <c r="J19" s="18" t="n">
        <f aca="false">J18/J11</f>
        <v>0.0642594762029937</v>
      </c>
      <c r="K19" s="18" t="n">
        <f aca="false">K18/K11</f>
        <v>0.0889788599929824</v>
      </c>
      <c r="L19" s="18" t="n">
        <f aca="false">L18/L11</f>
        <v>0.109450758694353</v>
      </c>
      <c r="M19" s="18" t="n">
        <f aca="false">M18/M11</f>
        <v>0.126887752746995</v>
      </c>
      <c r="N19" s="18" t="n">
        <f aca="false">N18/N11</f>
        <v>0.101446997947562</v>
      </c>
      <c r="O19" s="18" t="n">
        <f aca="false">O18/O11</f>
        <v>0.115033561703235</v>
      </c>
      <c r="P19" s="18" t="n">
        <f aca="false">P18/P11</f>
        <v>0.115033561703235</v>
      </c>
      <c r="Q19" s="18" t="n">
        <f aca="false">Q18/Q11</f>
        <v>0.127021706193535</v>
      </c>
      <c r="R19" s="18" t="n">
        <f aca="false">R18/R11</f>
        <v>0.127021706193535</v>
      </c>
      <c r="S19" s="18" t="n">
        <f aca="false">S18/S11</f>
        <v>0.137677834629357</v>
      </c>
      <c r="T19" s="18" t="n">
        <f aca="false">T18/T11</f>
        <v>0.137677834629357</v>
      </c>
      <c r="U19" s="18" t="n">
        <f aca="false">U18/U11</f>
        <v>0.147212265335092</v>
      </c>
      <c r="V19" s="18" t="n">
        <f aca="false">V18/V11</f>
        <v>0.147212265335092</v>
      </c>
      <c r="W19" s="18" t="n">
        <f aca="false">W18/W11</f>
        <v>0.155793252970254</v>
      </c>
      <c r="X19" s="18" t="n">
        <f aca="false">X18/X11</f>
        <v>0.155793252970254</v>
      </c>
      <c r="Y19" s="18" t="n">
        <f aca="false">Y18/Y11</f>
        <v>0.163557003687782</v>
      </c>
      <c r="Z19" s="18" t="n">
        <f aca="false">Z18/Z11</f>
        <v>0.135475352156299</v>
      </c>
      <c r="AA19" s="18" t="n">
        <f aca="false">AA18/AA11</f>
        <v>0.143809746060028</v>
      </c>
      <c r="AB19" s="18" t="n">
        <f aca="false">AB18/AB11</f>
        <v>0.143809746060028</v>
      </c>
      <c r="AC19" s="18" t="n">
        <f aca="false">AC18/AC11</f>
        <v>0.151419410059085</v>
      </c>
      <c r="AD19" s="18" t="n">
        <f aca="false">AD18/AD11</f>
        <v>0.151419410059085</v>
      </c>
      <c r="AE19" s="18" t="n">
        <f aca="false">AE18/AE11</f>
        <v>0.158394935391553</v>
      </c>
      <c r="AF19" s="18" t="n">
        <f aca="false">AF18/AF11</f>
        <v>0.158394935391553</v>
      </c>
      <c r="AG19" s="18" t="n">
        <f aca="false">AG18/AG11</f>
        <v>0.158394935391553</v>
      </c>
      <c r="AH19" s="18" t="n">
        <f aca="false">AH18/AH11</f>
        <v>0.158394935391553</v>
      </c>
      <c r="AI19" s="18" t="n">
        <f aca="false">AI18/AI11</f>
        <v>0.158394935391553</v>
      </c>
      <c r="AJ19" s="18" t="n">
        <f aca="false">AJ18/AJ11</f>
        <v>0.158394935391553</v>
      </c>
      <c r="AK19" s="18" t="n">
        <f aca="false">AK18/AK11</f>
        <v>0.158394935391553</v>
      </c>
      <c r="AL19" s="18" t="n">
        <f aca="false">AVERAGE(B19:AK19)</f>
        <v>0.0735182763225488</v>
      </c>
    </row>
    <row r="20" customFormat="false" ht="15" hidden="false" customHeight="true" outlineLevel="0" collapsed="false">
      <c r="A20" s="8" t="s">
        <v>331</v>
      </c>
      <c r="B20" s="19" t="n">
        <f aca="false">B9/B5</f>
        <v>7</v>
      </c>
      <c r="C20" s="19" t="n">
        <f aca="false">C9/C5</f>
        <v>11.5076923076923</v>
      </c>
      <c r="D20" s="19" t="n">
        <f aca="false">D9/D5</f>
        <v>15.6484615384615</v>
      </c>
      <c r="E20" s="19" t="n">
        <f aca="false">E9/E5</f>
        <v>20.2853846153846</v>
      </c>
      <c r="F20" s="19" t="n">
        <f aca="false">F9/F5</f>
        <v>25.4861538461539</v>
      </c>
      <c r="G20" s="19" t="n">
        <f aca="false">G9/G5</f>
        <v>31.9046153846154</v>
      </c>
      <c r="H20" s="19" t="n">
        <f aca="false">H9/H5</f>
        <v>38.2753846153846</v>
      </c>
      <c r="I20" s="19" t="n">
        <f aca="false">I9/I5</f>
        <v>44.9192307692308</v>
      </c>
      <c r="J20" s="19" t="n">
        <f aca="false">J9/J5</f>
        <v>51.0990384615385</v>
      </c>
      <c r="K20" s="19" t="n">
        <f aca="false">K9/K5</f>
        <v>57.3490384615385</v>
      </c>
      <c r="L20" s="19" t="n">
        <f aca="false">L9/L5</f>
        <v>63.7846153846154</v>
      </c>
      <c r="M20" s="19" t="n">
        <f aca="false">M9/M5</f>
        <v>70.4826923076923</v>
      </c>
      <c r="N20" s="19" t="n">
        <f aca="false">N9/N5</f>
        <v>75</v>
      </c>
      <c r="O20" s="19" t="n">
        <f aca="false">O9/O5</f>
        <v>80</v>
      </c>
      <c r="P20" s="19" t="n">
        <f aca="false">P9/P5</f>
        <v>80</v>
      </c>
      <c r="Q20" s="19" t="n">
        <f aca="false">Q9/Q5</f>
        <v>85</v>
      </c>
      <c r="R20" s="19" t="n">
        <f aca="false">R9/R5</f>
        <v>85</v>
      </c>
      <c r="S20" s="19" t="n">
        <f aca="false">S9/S5</f>
        <v>90</v>
      </c>
      <c r="T20" s="19" t="n">
        <f aca="false">T9/T5</f>
        <v>90</v>
      </c>
      <c r="U20" s="19" t="n">
        <f aca="false">U9/U5</f>
        <v>95</v>
      </c>
      <c r="V20" s="19" t="n">
        <f aca="false">V9/V5</f>
        <v>95</v>
      </c>
      <c r="W20" s="19" t="n">
        <f aca="false">W9/W5</f>
        <v>100</v>
      </c>
      <c r="X20" s="19" t="n">
        <f aca="false">X9/X5</f>
        <v>100</v>
      </c>
      <c r="Y20" s="19" t="n">
        <f aca="false">Y9/Y5</f>
        <v>105</v>
      </c>
      <c r="Z20" s="19" t="n">
        <f aca="false">Z9/Z5</f>
        <v>105</v>
      </c>
      <c r="AA20" s="19" t="n">
        <f aca="false">AA9/AA5</f>
        <v>110</v>
      </c>
      <c r="AB20" s="19" t="n">
        <f aca="false">AB9/AB5</f>
        <v>110</v>
      </c>
      <c r="AC20" s="19" t="n">
        <f aca="false">AC9/AC5</f>
        <v>115</v>
      </c>
      <c r="AD20" s="19" t="n">
        <f aca="false">AD9/AD5</f>
        <v>115</v>
      </c>
      <c r="AE20" s="19" t="n">
        <f aca="false">AE9/AE5</f>
        <v>120</v>
      </c>
      <c r="AF20" s="19" t="n">
        <f aca="false">AF9/AF5</f>
        <v>120</v>
      </c>
      <c r="AG20" s="19" t="n">
        <f aca="false">AG9/AG5</f>
        <v>120</v>
      </c>
      <c r="AH20" s="19" t="n">
        <f aca="false">AH9/AH5</f>
        <v>120</v>
      </c>
      <c r="AI20" s="19" t="n">
        <f aca="false">AI9/AI5</f>
        <v>120</v>
      </c>
      <c r="AJ20" s="19" t="n">
        <f aca="false">AJ9/AJ5</f>
        <v>120</v>
      </c>
      <c r="AK20" s="19" t="n">
        <f aca="false">AK9/AK5</f>
        <v>120</v>
      </c>
      <c r="AL20" s="19" t="n">
        <f aca="false">AVERAGE(B20:AK20)</f>
        <v>80.9095085470086</v>
      </c>
    </row>
  </sheetData>
  <mergeCells count="2">
    <mergeCell ref="A1:AN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8" min="2" style="1" width="12"/>
  </cols>
  <sheetData>
    <row r="1" customFormat="false" ht="36" hidden="false" customHeight="true" outlineLevel="0" collapsed="false">
      <c r="A1" s="2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1.5" hidden="false" customHeight="true" outlineLevel="0" collapsed="false">
      <c r="A2" s="3" t="s">
        <v>333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31.5" hidden="false" customHeight="true" outlineLevel="0" collapsed="false">
      <c r="A4" s="6" t="s">
        <v>13</v>
      </c>
      <c r="B4" s="6" t="s">
        <v>270</v>
      </c>
      <c r="C4" s="6" t="s">
        <v>271</v>
      </c>
      <c r="D4" s="6" t="s">
        <v>272</v>
      </c>
      <c r="E4" s="6" t="s">
        <v>273</v>
      </c>
      <c r="F4" s="6" t="s">
        <v>274</v>
      </c>
      <c r="G4" s="6" t="s">
        <v>275</v>
      </c>
      <c r="H4" s="6" t="s">
        <v>276</v>
      </c>
      <c r="I4" s="6" t="s">
        <v>277</v>
      </c>
      <c r="J4" s="6" t="s">
        <v>278</v>
      </c>
      <c r="K4" s="6" t="s">
        <v>279</v>
      </c>
      <c r="L4" s="6" t="s">
        <v>280</v>
      </c>
      <c r="M4" s="6" t="s">
        <v>281</v>
      </c>
      <c r="N4" s="6" t="s">
        <v>282</v>
      </c>
      <c r="O4" s="6" t="s">
        <v>283</v>
      </c>
      <c r="P4" s="6" t="s">
        <v>284</v>
      </c>
      <c r="Q4" s="6" t="s">
        <v>285</v>
      </c>
      <c r="R4" s="6" t="s">
        <v>286</v>
      </c>
      <c r="S4" s="6" t="s">
        <v>287</v>
      </c>
      <c r="T4" s="6" t="s">
        <v>288</v>
      </c>
      <c r="U4" s="6" t="s">
        <v>289</v>
      </c>
      <c r="V4" s="6" t="s">
        <v>290</v>
      </c>
      <c r="W4" s="6" t="s">
        <v>291</v>
      </c>
      <c r="X4" s="6" t="s">
        <v>292</v>
      </c>
      <c r="Y4" s="6" t="s">
        <v>293</v>
      </c>
      <c r="Z4" s="6" t="s">
        <v>294</v>
      </c>
      <c r="AA4" s="6" t="s">
        <v>295</v>
      </c>
      <c r="AB4" s="6" t="s">
        <v>296</v>
      </c>
      <c r="AC4" s="6" t="s">
        <v>297</v>
      </c>
      <c r="AD4" s="6" t="s">
        <v>298</v>
      </c>
      <c r="AE4" s="6" t="s">
        <v>299</v>
      </c>
      <c r="AF4" s="6" t="s">
        <v>300</v>
      </c>
      <c r="AG4" s="6" t="s">
        <v>301</v>
      </c>
      <c r="AH4" s="6" t="s">
        <v>302</v>
      </c>
      <c r="AI4" s="6" t="s">
        <v>303</v>
      </c>
      <c r="AJ4" s="6" t="s">
        <v>304</v>
      </c>
      <c r="AK4" s="6" t="s">
        <v>305</v>
      </c>
      <c r="AL4" s="6" t="s">
        <v>334</v>
      </c>
    </row>
    <row r="5" customFormat="false" ht="21.75" hidden="false" customHeight="true" outlineLevel="0" collapsed="false">
      <c r="A5" s="8" t="s">
        <v>335</v>
      </c>
      <c r="B5" s="17" t="n">
        <v>0</v>
      </c>
      <c r="C5" s="17" t="n">
        <f aca="false">B16</f>
        <v>10531.3654</v>
      </c>
      <c r="D5" s="17" t="n">
        <f aca="false">C16</f>
        <v>18606.17864</v>
      </c>
      <c r="E5" s="17" t="n">
        <f aca="false">D16</f>
        <v>10016.018782</v>
      </c>
      <c r="F5" s="17" t="n">
        <f aca="false">E16</f>
        <v>22813.437986</v>
      </c>
      <c r="G5" s="17" t="n">
        <f aca="false">F16</f>
        <v>19203.389904</v>
      </c>
      <c r="H5" s="17" t="n">
        <f aca="false">G16</f>
        <v>18010.934768</v>
      </c>
      <c r="I5" s="17" t="n">
        <f aca="false">H16</f>
        <v>17362.31218</v>
      </c>
      <c r="J5" s="17" t="n">
        <f aca="false">I16</f>
        <v>18846.82119</v>
      </c>
      <c r="K5" s="17" t="n">
        <f aca="false">J16</f>
        <v>22419.3593175</v>
      </c>
      <c r="L5" s="17" t="n">
        <f aca="false">K16</f>
        <v>28087.2517825</v>
      </c>
      <c r="M5" s="17" t="n">
        <f aca="false">L16</f>
        <v>35914.73355</v>
      </c>
      <c r="N5" s="17" t="n">
        <f aca="false">M16</f>
        <v>45995.650485</v>
      </c>
      <c r="O5" s="17" t="n">
        <f aca="false">N16</f>
        <v>54612.77326</v>
      </c>
      <c r="P5" s="17" t="n">
        <f aca="false">O16</f>
        <v>65051.42426</v>
      </c>
      <c r="Q5" s="17" t="n">
        <f aca="false">P16</f>
        <v>75663.04026</v>
      </c>
      <c r="R5" s="17" t="n">
        <f aca="false">Q16</f>
        <v>87939.91726</v>
      </c>
      <c r="S5" s="17" t="n">
        <f aca="false">R16</f>
        <v>100389.75926</v>
      </c>
      <c r="T5" s="17" t="n">
        <f aca="false">S16</f>
        <v>114504.86226</v>
      </c>
      <c r="U5" s="17" t="n">
        <f aca="false">T16</f>
        <v>128792.93026</v>
      </c>
      <c r="V5" s="17" t="n">
        <f aca="false">U16</f>
        <v>144746.25926</v>
      </c>
      <c r="W5" s="17" t="n">
        <f aca="false">V16</f>
        <v>160872.55326</v>
      </c>
      <c r="X5" s="17" t="n">
        <f aca="false">W16</f>
        <v>178664.10826</v>
      </c>
      <c r="Y5" s="17" t="n">
        <f aca="false">X16</f>
        <v>196628.62826</v>
      </c>
      <c r="Z5" s="17" t="n">
        <f aca="false">Y16</f>
        <v>216258.40926</v>
      </c>
      <c r="AA5" s="17" t="n">
        <f aca="false">Z16</f>
        <v>232661.15526</v>
      </c>
      <c r="AB5" s="17" t="n">
        <f aca="false">AA16</f>
        <v>250729.16226</v>
      </c>
      <c r="AC5" s="17" t="n">
        <f aca="false">AB16</f>
        <v>268970.13426</v>
      </c>
      <c r="AD5" s="17" t="n">
        <f aca="false">AC16</f>
        <v>288876.36726</v>
      </c>
      <c r="AE5" s="17" t="n">
        <f aca="false">AD16</f>
        <v>308955.56526</v>
      </c>
      <c r="AF5" s="17" t="n">
        <f aca="false">AE16</f>
        <v>330700.02426</v>
      </c>
      <c r="AG5" s="17" t="n">
        <f aca="false">AF16</f>
        <v>352617.44826</v>
      </c>
      <c r="AH5" s="17" t="n">
        <f aca="false">AG16</f>
        <v>374534.87226</v>
      </c>
      <c r="AI5" s="17" t="n">
        <f aca="false">AH16</f>
        <v>396452.29626</v>
      </c>
      <c r="AJ5" s="17" t="n">
        <f aca="false">AI16</f>
        <v>418369.72026</v>
      </c>
      <c r="AK5" s="17" t="n">
        <f aca="false">AJ16</f>
        <v>440287.14426</v>
      </c>
      <c r="AL5" s="17" t="n">
        <f aca="false">AK5</f>
        <v>440287.14426</v>
      </c>
    </row>
    <row r="6" customFormat="false" ht="21.75" hidden="false" customHeight="true" outlineLevel="0" collapsed="false">
      <c r="A6" s="8" t="s">
        <v>325</v>
      </c>
      <c r="B6" s="17" t="n">
        <f aca="false">'План 36 месяцев'!B11</f>
        <v>8071.7</v>
      </c>
      <c r="C6" s="17" t="n">
        <f aca="false">'План 36 месяцев'!C11</f>
        <v>13269.52</v>
      </c>
      <c r="D6" s="17" t="n">
        <f aca="false">'План 36 месяцев'!D11</f>
        <v>18044.241</v>
      </c>
      <c r="E6" s="17" t="n">
        <f aca="false">'План 36 месяцев'!E11</f>
        <v>23391.077</v>
      </c>
      <c r="F6" s="17" t="n">
        <f aca="false">'План 36 месяцев'!F11</f>
        <v>29388.084</v>
      </c>
      <c r="G6" s="17" t="n">
        <f aca="false">'План 36 месяцев'!G11</f>
        <v>36789.212</v>
      </c>
      <c r="H6" s="17" t="n">
        <f aca="false">'План 36 месяцев'!H11</f>
        <v>44135.346</v>
      </c>
      <c r="I6" s="17" t="n">
        <f aca="false">'План 36 месяцев'!I11</f>
        <v>51796.365</v>
      </c>
      <c r="J6" s="17" t="n">
        <f aca="false">'План 36 месяцев'!J11</f>
        <v>58922.30125</v>
      </c>
      <c r="K6" s="17" t="n">
        <f aca="false">'План 36 месяцев'!K11</f>
        <v>66129.17625</v>
      </c>
      <c r="L6" s="17" t="n">
        <f aca="false">'План 36 месяцев'!L11</f>
        <v>73550.04</v>
      </c>
      <c r="M6" s="17" t="n">
        <f aca="false">'План 36 месяцев'!M11</f>
        <v>81273.5925</v>
      </c>
      <c r="N6" s="17" t="n">
        <f aca="false">'План 36 месяцев'!N11</f>
        <v>86482.5</v>
      </c>
      <c r="O6" s="17" t="n">
        <f aca="false">'План 36 месяцев'!O11</f>
        <v>92248</v>
      </c>
      <c r="P6" s="17" t="n">
        <f aca="false">'План 36 месяцев'!P11</f>
        <v>92248</v>
      </c>
      <c r="Q6" s="17" t="n">
        <f aca="false">'План 36 месяцев'!Q11</f>
        <v>98013.5</v>
      </c>
      <c r="R6" s="17" t="n">
        <f aca="false">'План 36 месяцев'!R11</f>
        <v>98013.5</v>
      </c>
      <c r="S6" s="17" t="n">
        <f aca="false">'План 36 месяцев'!S11</f>
        <v>103779</v>
      </c>
      <c r="T6" s="17" t="n">
        <f aca="false">'План 36 месяцев'!T11</f>
        <v>103779</v>
      </c>
      <c r="U6" s="17" t="n">
        <f aca="false">'План 36 месяцев'!U11</f>
        <v>109544.5</v>
      </c>
      <c r="V6" s="17" t="n">
        <f aca="false">'План 36 месяцев'!V11</f>
        <v>109544.5</v>
      </c>
      <c r="W6" s="17" t="n">
        <f aca="false">'План 36 месяцев'!W11</f>
        <v>115310</v>
      </c>
      <c r="X6" s="17" t="n">
        <f aca="false">'План 36 месяцев'!X11</f>
        <v>115310</v>
      </c>
      <c r="Y6" s="17" t="n">
        <f aca="false">'План 36 месяцев'!Y11</f>
        <v>121075.5</v>
      </c>
      <c r="Z6" s="17" t="n">
        <f aca="false">'План 36 месяцев'!Z11</f>
        <v>121075.5</v>
      </c>
      <c r="AA6" s="17" t="n">
        <f aca="false">'План 36 месяцев'!AA11</f>
        <v>126841</v>
      </c>
      <c r="AB6" s="17" t="n">
        <f aca="false">'План 36 месяцев'!AB11</f>
        <v>126841</v>
      </c>
      <c r="AC6" s="17" t="n">
        <f aca="false">'План 36 месяцев'!AC11</f>
        <v>132606.5</v>
      </c>
      <c r="AD6" s="17" t="n">
        <f aca="false">'План 36 месяцев'!AD11</f>
        <v>132606.5</v>
      </c>
      <c r="AE6" s="17" t="n">
        <f aca="false">'План 36 месяцев'!AE11</f>
        <v>138372</v>
      </c>
      <c r="AF6" s="17" t="n">
        <f aca="false">'План 36 месяцев'!AF11</f>
        <v>138372</v>
      </c>
      <c r="AG6" s="17" t="n">
        <f aca="false">'План 36 месяцев'!AG11</f>
        <v>138372</v>
      </c>
      <c r="AH6" s="17" t="n">
        <f aca="false">'План 36 месяцев'!AH11</f>
        <v>138372</v>
      </c>
      <c r="AI6" s="17" t="n">
        <f aca="false">'План 36 месяцев'!AI11</f>
        <v>138372</v>
      </c>
      <c r="AJ6" s="17" t="n">
        <f aca="false">'План 36 месяцев'!AJ11</f>
        <v>138372</v>
      </c>
      <c r="AK6" s="17" t="n">
        <f aca="false">'План 36 месяцев'!AK11</f>
        <v>138372</v>
      </c>
      <c r="AL6" s="17" t="n">
        <f aca="false">SUM(B6:AK6)</f>
        <v>3358683.155</v>
      </c>
    </row>
    <row r="7" customFormat="false" ht="15" hidden="false" customHeight="true" outlineLevel="0" collapsed="false">
      <c r="A7" s="8" t="s">
        <v>336</v>
      </c>
      <c r="B7" s="26" t="n">
        <v>28000</v>
      </c>
      <c r="C7" s="26" t="n">
        <v>20000</v>
      </c>
      <c r="D7" s="26" t="n">
        <v>0</v>
      </c>
      <c r="E7" s="26" t="n">
        <v>20000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26" t="n">
        <v>0</v>
      </c>
      <c r="AB7" s="26" t="n">
        <v>0</v>
      </c>
      <c r="AC7" s="26" t="n">
        <v>0</v>
      </c>
      <c r="AD7" s="26" t="n">
        <v>0</v>
      </c>
      <c r="AE7" s="26" t="n">
        <v>0</v>
      </c>
      <c r="AF7" s="26" t="n">
        <v>0</v>
      </c>
      <c r="AG7" s="26" t="n">
        <v>0</v>
      </c>
      <c r="AH7" s="26" t="n">
        <v>0</v>
      </c>
      <c r="AI7" s="26" t="n">
        <v>0</v>
      </c>
      <c r="AJ7" s="26" t="n">
        <v>0</v>
      </c>
      <c r="AK7" s="26" t="n">
        <v>0</v>
      </c>
      <c r="AL7" s="17" t="n">
        <f aca="false">SUM(B7:AK7)</f>
        <v>68000</v>
      </c>
    </row>
    <row r="8" customFormat="false" ht="21.75" hidden="false" customHeight="true" outlineLevel="0" collapsed="false">
      <c r="A8" s="8" t="s">
        <v>337</v>
      </c>
      <c r="B8" s="17" t="n">
        <f aca="false">SUM(B6:B7)</f>
        <v>36071.7</v>
      </c>
      <c r="C8" s="17" t="n">
        <f aca="false">SUM(C6:C7)</f>
        <v>33269.52</v>
      </c>
      <c r="D8" s="17" t="n">
        <f aca="false">SUM(D6:D7)</f>
        <v>18044.241</v>
      </c>
      <c r="E8" s="17" t="n">
        <f aca="false">SUM(E6:E7)</f>
        <v>43391.077</v>
      </c>
      <c r="F8" s="17" t="n">
        <f aca="false">SUM(F6:F7)</f>
        <v>29388.084</v>
      </c>
      <c r="G8" s="17" t="n">
        <f aca="false">SUM(G6:G7)</f>
        <v>36789.212</v>
      </c>
      <c r="H8" s="17" t="n">
        <f aca="false">SUM(H6:H7)</f>
        <v>44135.346</v>
      </c>
      <c r="I8" s="17" t="n">
        <f aca="false">SUM(I6:I7)</f>
        <v>51796.365</v>
      </c>
      <c r="J8" s="17" t="n">
        <f aca="false">SUM(J6:J7)</f>
        <v>58922.30125</v>
      </c>
      <c r="K8" s="17" t="n">
        <f aca="false">SUM(K6:K7)</f>
        <v>66129.17625</v>
      </c>
      <c r="L8" s="17" t="n">
        <f aca="false">SUM(L6:L7)</f>
        <v>73550.04</v>
      </c>
      <c r="M8" s="17" t="n">
        <f aca="false">SUM(M6:M7)</f>
        <v>81273.5925</v>
      </c>
      <c r="N8" s="17" t="n">
        <f aca="false">SUM(N6:N7)</f>
        <v>86482.5</v>
      </c>
      <c r="O8" s="17" t="n">
        <f aca="false">SUM(O6:O7)</f>
        <v>92248</v>
      </c>
      <c r="P8" s="17" t="n">
        <f aca="false">SUM(P6:P7)</f>
        <v>92248</v>
      </c>
      <c r="Q8" s="17" t="n">
        <f aca="false">SUM(Q6:Q7)</f>
        <v>98013.5</v>
      </c>
      <c r="R8" s="17" t="n">
        <f aca="false">SUM(R6:R7)</f>
        <v>98013.5</v>
      </c>
      <c r="S8" s="17" t="n">
        <f aca="false">SUM(S6:S7)</f>
        <v>103779</v>
      </c>
      <c r="T8" s="17" t="n">
        <f aca="false">SUM(T6:T7)</f>
        <v>103779</v>
      </c>
      <c r="U8" s="17" t="n">
        <f aca="false">SUM(U6:U7)</f>
        <v>109544.5</v>
      </c>
      <c r="V8" s="17" t="n">
        <f aca="false">SUM(V6:V7)</f>
        <v>109544.5</v>
      </c>
      <c r="W8" s="17" t="n">
        <f aca="false">SUM(W6:W7)</f>
        <v>115310</v>
      </c>
      <c r="X8" s="17" t="n">
        <f aca="false">SUM(X6:X7)</f>
        <v>115310</v>
      </c>
      <c r="Y8" s="17" t="n">
        <f aca="false">SUM(Y6:Y7)</f>
        <v>121075.5</v>
      </c>
      <c r="Z8" s="17" t="n">
        <f aca="false">SUM(Z6:Z7)</f>
        <v>121075.5</v>
      </c>
      <c r="AA8" s="17" t="n">
        <f aca="false">SUM(AA6:AA7)</f>
        <v>126841</v>
      </c>
      <c r="AB8" s="17" t="n">
        <f aca="false">SUM(AB6:AB7)</f>
        <v>126841</v>
      </c>
      <c r="AC8" s="17" t="n">
        <f aca="false">SUM(AC6:AC7)</f>
        <v>132606.5</v>
      </c>
      <c r="AD8" s="17" t="n">
        <f aca="false">SUM(AD6:AD7)</f>
        <v>132606.5</v>
      </c>
      <c r="AE8" s="17" t="n">
        <f aca="false">SUM(AE6:AE7)</f>
        <v>138372</v>
      </c>
      <c r="AF8" s="17" t="n">
        <f aca="false">SUM(AF6:AF7)</f>
        <v>138372</v>
      </c>
      <c r="AG8" s="17" t="n">
        <f aca="false">SUM(AG6:AG7)</f>
        <v>138372</v>
      </c>
      <c r="AH8" s="17" t="n">
        <f aca="false">SUM(AH6:AH7)</f>
        <v>138372</v>
      </c>
      <c r="AI8" s="17" t="n">
        <f aca="false">SUM(AI6:AI7)</f>
        <v>138372</v>
      </c>
      <c r="AJ8" s="17" t="n">
        <f aca="false">SUM(AJ6:AJ7)</f>
        <v>138372</v>
      </c>
      <c r="AK8" s="17" t="n">
        <f aca="false">SUM(AK6:AK7)</f>
        <v>138372</v>
      </c>
      <c r="AL8" s="17" t="n">
        <f aca="false">SUM(B8:AK8)</f>
        <v>3426683.155</v>
      </c>
    </row>
    <row r="9" customFormat="false" ht="21.75" hidden="false" customHeight="true" outlineLevel="0" collapsed="false">
      <c r="A9" s="8" t="s">
        <v>106</v>
      </c>
      <c r="B9" s="17" t="n">
        <f aca="false">'План 36 месяцев'!B13</f>
        <v>5498.1836</v>
      </c>
      <c r="C9" s="17" t="n">
        <f aca="false">'План 36 месяцев'!C13</f>
        <v>9038.77216</v>
      </c>
      <c r="D9" s="17" t="n">
        <f aca="false">'План 36 месяцев'!D13</f>
        <v>12291.159228</v>
      </c>
      <c r="E9" s="17" t="n">
        <f aca="false">'План 36 месяцев'!E13</f>
        <v>15933.252716</v>
      </c>
      <c r="F9" s="17" t="n">
        <f aca="false">'План 36 месяцев'!F13</f>
        <v>20018.221872</v>
      </c>
      <c r="G9" s="17" t="n">
        <f aca="false">'План 36 месяцев'!G13</f>
        <v>25059.633296</v>
      </c>
      <c r="H9" s="17" t="n">
        <f aca="false">'План 36 месяцев'!H13</f>
        <v>30063.584568</v>
      </c>
      <c r="I9" s="17" t="n">
        <f aca="false">'План 36 месяцев'!I13</f>
        <v>35282.02542</v>
      </c>
      <c r="J9" s="17" t="n">
        <f aca="false">'План 36 месяцев'!J13</f>
        <v>40135.985035</v>
      </c>
      <c r="K9" s="17" t="n">
        <f aca="false">'План 36 месяцев'!K13</f>
        <v>45045.077535</v>
      </c>
      <c r="L9" s="17" t="n">
        <f aca="false">'План 36 месяцев'!L13</f>
        <v>50099.93232</v>
      </c>
      <c r="M9" s="17" t="n">
        <f aca="false">'План 36 месяцев'!M13</f>
        <v>55360.96899</v>
      </c>
      <c r="N9" s="17" t="n">
        <f aca="false">'План 36 месяцев'!N13</f>
        <v>58909.11</v>
      </c>
      <c r="O9" s="17" t="n">
        <f aca="false">'План 36 месяцев'!O13</f>
        <v>62836.384</v>
      </c>
      <c r="P9" s="17" t="n">
        <f aca="false">'План 36 месяцев'!P13</f>
        <v>62836.384</v>
      </c>
      <c r="Q9" s="17" t="n">
        <f aca="false">'План 36 месяцев'!Q13</f>
        <v>66763.658</v>
      </c>
      <c r="R9" s="17" t="n">
        <f aca="false">'План 36 месяцев'!R13</f>
        <v>66763.658</v>
      </c>
      <c r="S9" s="17" t="n">
        <f aca="false">'План 36 месяцев'!S13</f>
        <v>70690.932</v>
      </c>
      <c r="T9" s="17" t="n">
        <f aca="false">'План 36 месяцев'!T13</f>
        <v>70690.932</v>
      </c>
      <c r="U9" s="17" t="n">
        <f aca="false">'План 36 месяцев'!U13</f>
        <v>74618.206</v>
      </c>
      <c r="V9" s="17" t="n">
        <f aca="false">'План 36 месяцев'!V13</f>
        <v>74618.206</v>
      </c>
      <c r="W9" s="17" t="n">
        <f aca="false">'План 36 месяцев'!W13</f>
        <v>78545.48</v>
      </c>
      <c r="X9" s="17" t="n">
        <f aca="false">'План 36 месяцев'!X13</f>
        <v>78545.48</v>
      </c>
      <c r="Y9" s="17" t="n">
        <f aca="false">'План 36 месяцев'!Y13</f>
        <v>82472.754</v>
      </c>
      <c r="Z9" s="17" t="n">
        <f aca="false">'План 36 месяцев'!Z13</f>
        <v>82472.754</v>
      </c>
      <c r="AA9" s="17" t="n">
        <f aca="false">'План 36 месяцев'!AA13</f>
        <v>86400.028</v>
      </c>
      <c r="AB9" s="17" t="n">
        <f aca="false">'План 36 месяцев'!AB13</f>
        <v>86400.028</v>
      </c>
      <c r="AC9" s="17" t="n">
        <f aca="false">'План 36 месяцев'!AC13</f>
        <v>90327.302</v>
      </c>
      <c r="AD9" s="17" t="n">
        <f aca="false">'План 36 месяцев'!AD13</f>
        <v>90327.302</v>
      </c>
      <c r="AE9" s="17" t="n">
        <f aca="false">'План 36 месяцев'!AE13</f>
        <v>94254.576</v>
      </c>
      <c r="AF9" s="17" t="n">
        <f aca="false">'План 36 месяцев'!AF13</f>
        <v>94254.576</v>
      </c>
      <c r="AG9" s="17" t="n">
        <f aca="false">'План 36 месяцев'!AG13</f>
        <v>94254.576</v>
      </c>
      <c r="AH9" s="17" t="n">
        <f aca="false">'План 36 месяцев'!AH13</f>
        <v>94254.576</v>
      </c>
      <c r="AI9" s="17" t="n">
        <f aca="false">'План 36 месяцев'!AI13</f>
        <v>94254.576</v>
      </c>
      <c r="AJ9" s="17" t="n">
        <f aca="false">'План 36 месяцев'!AJ13</f>
        <v>94254.576</v>
      </c>
      <c r="AK9" s="17" t="n">
        <f aca="false">'План 36 месяцев'!AK13</f>
        <v>94254.576</v>
      </c>
      <c r="AL9" s="17" t="n">
        <f aca="false">SUM(B9:AK9)</f>
        <v>2287827.42674</v>
      </c>
    </row>
    <row r="10" customFormat="false" ht="21.75" hidden="false" customHeight="true" outlineLevel="0" collapsed="false">
      <c r="A10" s="8" t="s">
        <v>327</v>
      </c>
      <c r="B10" s="17" t="n">
        <f aca="false">'План 36 месяцев'!B16</f>
        <v>7000</v>
      </c>
      <c r="C10" s="17" t="n">
        <f aca="false">'План 36 месяцев'!C16</f>
        <v>7000</v>
      </c>
      <c r="D10" s="17" t="n">
        <f aca="false">'План 36 месяцев'!D16</f>
        <v>7000</v>
      </c>
      <c r="E10" s="17" t="n">
        <f aca="false">'План 36 месяцев'!E16</f>
        <v>9000</v>
      </c>
      <c r="F10" s="17" t="n">
        <f aca="false">'План 36 месяцев'!F16</f>
        <v>9000</v>
      </c>
      <c r="G10" s="17" t="n">
        <f aca="false">'План 36 месяцев'!G16</f>
        <v>9000</v>
      </c>
      <c r="H10" s="17" t="n">
        <f aca="false">'План 36 месяцев'!H16</f>
        <v>12000</v>
      </c>
      <c r="I10" s="17" t="n">
        <f aca="false">'План 36 месяцев'!I16</f>
        <v>12000</v>
      </c>
      <c r="J10" s="17" t="n">
        <f aca="false">'План 36 месяцев'!J16</f>
        <v>12000</v>
      </c>
      <c r="K10" s="17" t="n">
        <f aca="false">'План 36 месяцев'!K16</f>
        <v>12000</v>
      </c>
      <c r="L10" s="17" t="n">
        <f aca="false">'План 36 месяцев'!L16</f>
        <v>12000</v>
      </c>
      <c r="M10" s="17" t="n">
        <f aca="false">'План 36 месяцев'!M16</f>
        <v>12000</v>
      </c>
      <c r="N10" s="17" t="n">
        <f aca="false">'План 36 месяцев'!N16</f>
        <v>15000</v>
      </c>
      <c r="O10" s="17" t="n">
        <f aca="false">'План 36 месяцев'!O16</f>
        <v>15000</v>
      </c>
      <c r="P10" s="17" t="n">
        <f aca="false">'План 36 месяцев'!P16</f>
        <v>15000</v>
      </c>
      <c r="Q10" s="17" t="n">
        <f aca="false">'План 36 месяцев'!Q16</f>
        <v>15000</v>
      </c>
      <c r="R10" s="17" t="n">
        <f aca="false">'План 36 месяцев'!R16</f>
        <v>15000</v>
      </c>
      <c r="S10" s="17" t="n">
        <f aca="false">'План 36 месяцев'!S16</f>
        <v>15000</v>
      </c>
      <c r="T10" s="17" t="n">
        <f aca="false">'План 36 месяцев'!T16</f>
        <v>15000</v>
      </c>
      <c r="U10" s="17" t="n">
        <f aca="false">'План 36 месяцев'!U16</f>
        <v>15000</v>
      </c>
      <c r="V10" s="17" t="n">
        <f aca="false">'План 36 месяцев'!V16</f>
        <v>15000</v>
      </c>
      <c r="W10" s="17" t="n">
        <f aca="false">'План 36 месяцев'!W16</f>
        <v>15000</v>
      </c>
      <c r="X10" s="17" t="n">
        <f aca="false">'План 36 месяцев'!X16</f>
        <v>15000</v>
      </c>
      <c r="Y10" s="17" t="n">
        <f aca="false">'План 36 месяцев'!Y16</f>
        <v>15000</v>
      </c>
      <c r="Z10" s="17" t="n">
        <f aca="false">'План 36 месяцев'!Z16</f>
        <v>18000</v>
      </c>
      <c r="AA10" s="17" t="n">
        <f aca="false">'План 36 месяцев'!AA16</f>
        <v>18000</v>
      </c>
      <c r="AB10" s="17" t="n">
        <f aca="false">'План 36 месяцев'!AB16</f>
        <v>18000</v>
      </c>
      <c r="AC10" s="17" t="n">
        <f aca="false">'План 36 месяцев'!AC16</f>
        <v>18000</v>
      </c>
      <c r="AD10" s="17" t="n">
        <f aca="false">'План 36 месяцев'!AD16</f>
        <v>18000</v>
      </c>
      <c r="AE10" s="17" t="n">
        <f aca="false">'План 36 месяцев'!AE16</f>
        <v>18000</v>
      </c>
      <c r="AF10" s="17" t="n">
        <f aca="false">'План 36 месяцев'!AF16</f>
        <v>18000</v>
      </c>
      <c r="AG10" s="17" t="n">
        <f aca="false">'План 36 месяцев'!AG16</f>
        <v>18000</v>
      </c>
      <c r="AH10" s="17" t="n">
        <f aca="false">'План 36 месяцев'!AH16</f>
        <v>18000</v>
      </c>
      <c r="AI10" s="17" t="n">
        <f aca="false">'План 36 месяцев'!AI16</f>
        <v>18000</v>
      </c>
      <c r="AJ10" s="17" t="n">
        <f aca="false">'План 36 месяцев'!AJ16</f>
        <v>18000</v>
      </c>
      <c r="AK10" s="17" t="n">
        <f aca="false">'План 36 месяцев'!AK16</f>
        <v>18000</v>
      </c>
      <c r="AL10" s="17" t="n">
        <f aca="false">SUM(B10:AK10)</f>
        <v>516000</v>
      </c>
    </row>
    <row r="11" customFormat="false" ht="21.75" hidden="false" customHeight="true" outlineLevel="0" collapsed="false">
      <c r="A11" s="8" t="s">
        <v>328</v>
      </c>
      <c r="B11" s="17" t="n">
        <f aca="false">'План 36 месяцев'!B17</f>
        <v>800</v>
      </c>
      <c r="C11" s="17" t="n">
        <f aca="false">'План 36 месяцев'!C17</f>
        <v>1000</v>
      </c>
      <c r="D11" s="17" t="n">
        <f aca="false">'План 36 месяцев'!D17</f>
        <v>1200</v>
      </c>
      <c r="E11" s="17" t="n">
        <f aca="false">'План 36 месяцев'!E17</f>
        <v>1500</v>
      </c>
      <c r="F11" s="17" t="n">
        <f aca="false">'План 36 месяцев'!F17</f>
        <v>1800</v>
      </c>
      <c r="G11" s="17" t="n">
        <f aca="false">'План 36 месяцев'!G17</f>
        <v>2200</v>
      </c>
      <c r="H11" s="17" t="n">
        <f aca="false">'План 36 месяцев'!H17</f>
        <v>2500</v>
      </c>
      <c r="I11" s="17" t="n">
        <f aca="false">'План 36 месяцев'!I17</f>
        <v>2800</v>
      </c>
      <c r="J11" s="17" t="n">
        <f aca="false">'План 36 месяцев'!J17</f>
        <v>3000</v>
      </c>
      <c r="K11" s="17" t="n">
        <f aca="false">'План 36 месяцев'!K17</f>
        <v>3200</v>
      </c>
      <c r="L11" s="17" t="n">
        <f aca="false">'План 36 месяцев'!L17</f>
        <v>3400</v>
      </c>
      <c r="M11" s="17" t="n">
        <f aca="false">'План 36 месяцев'!M17</f>
        <v>3600</v>
      </c>
      <c r="N11" s="17" t="n">
        <f aca="false">'План 36 месяцев'!N17</f>
        <v>3800</v>
      </c>
      <c r="O11" s="17" t="n">
        <f aca="false">'План 36 месяцев'!O17</f>
        <v>3800</v>
      </c>
      <c r="P11" s="17" t="n">
        <f aca="false">'План 36 месяцев'!P17</f>
        <v>3800</v>
      </c>
      <c r="Q11" s="17" t="n">
        <f aca="false">'План 36 месяцев'!Q17</f>
        <v>3800</v>
      </c>
      <c r="R11" s="17" t="n">
        <f aca="false">'План 36 месяцев'!R17</f>
        <v>3800</v>
      </c>
      <c r="S11" s="17" t="n">
        <f aca="false">'План 36 месяцев'!S17</f>
        <v>3800</v>
      </c>
      <c r="T11" s="17" t="n">
        <f aca="false">'План 36 месяцев'!T17</f>
        <v>3800</v>
      </c>
      <c r="U11" s="17" t="n">
        <f aca="false">'План 36 месяцев'!U17</f>
        <v>3800</v>
      </c>
      <c r="V11" s="17" t="n">
        <f aca="false">'План 36 месяцев'!V17</f>
        <v>3800</v>
      </c>
      <c r="W11" s="17" t="n">
        <f aca="false">'План 36 месяцев'!W17</f>
        <v>3800</v>
      </c>
      <c r="X11" s="17" t="n">
        <f aca="false">'План 36 месяцев'!X17</f>
        <v>3800</v>
      </c>
      <c r="Y11" s="17" t="n">
        <f aca="false">'План 36 месяцев'!Y17</f>
        <v>3800</v>
      </c>
      <c r="Z11" s="17" t="n">
        <f aca="false">'План 36 месяцев'!Z17</f>
        <v>4200</v>
      </c>
      <c r="AA11" s="17" t="n">
        <f aca="false">'План 36 месяцев'!AA17</f>
        <v>4200</v>
      </c>
      <c r="AB11" s="17" t="n">
        <f aca="false">'План 36 месяцев'!AB17</f>
        <v>4200</v>
      </c>
      <c r="AC11" s="17" t="n">
        <f aca="false">'План 36 месяцев'!AC17</f>
        <v>4200</v>
      </c>
      <c r="AD11" s="17" t="n">
        <f aca="false">'План 36 месяцев'!AD17</f>
        <v>4200</v>
      </c>
      <c r="AE11" s="17" t="n">
        <f aca="false">'План 36 месяцев'!AE17</f>
        <v>4200</v>
      </c>
      <c r="AF11" s="17" t="n">
        <f aca="false">'План 36 месяцев'!AF17</f>
        <v>4200</v>
      </c>
      <c r="AG11" s="17" t="n">
        <f aca="false">'План 36 месяцев'!AG17</f>
        <v>4200</v>
      </c>
      <c r="AH11" s="17" t="n">
        <f aca="false">'План 36 месяцев'!AH17</f>
        <v>4200</v>
      </c>
      <c r="AI11" s="17" t="n">
        <f aca="false">'План 36 месяцев'!AI17</f>
        <v>4200</v>
      </c>
      <c r="AJ11" s="17" t="n">
        <f aca="false">'План 36 месяцев'!AJ17</f>
        <v>4200</v>
      </c>
      <c r="AK11" s="17" t="n">
        <f aca="false">'План 36 месяцев'!AK17</f>
        <v>4200</v>
      </c>
      <c r="AL11" s="17" t="n">
        <f aca="false">SUM(B11:AK11)</f>
        <v>123000</v>
      </c>
    </row>
    <row r="12" customFormat="false" ht="15" hidden="false" customHeight="true" outlineLevel="0" collapsed="false">
      <c r="A12" s="8" t="s">
        <v>338</v>
      </c>
      <c r="B12" s="26" t="n">
        <v>12000</v>
      </c>
      <c r="C12" s="26" t="n">
        <v>8000</v>
      </c>
      <c r="D12" s="26" t="n">
        <v>6000</v>
      </c>
      <c r="E12" s="26" t="n">
        <v>4000</v>
      </c>
      <c r="F12" s="26" t="n">
        <v>2000</v>
      </c>
      <c r="G12" s="26" t="n">
        <v>1500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  <c r="AF12" s="26" t="n">
        <v>0</v>
      </c>
      <c r="AG12" s="26" t="n">
        <v>0</v>
      </c>
      <c r="AH12" s="26" t="n">
        <v>0</v>
      </c>
      <c r="AI12" s="26" t="n">
        <v>0</v>
      </c>
      <c r="AJ12" s="26" t="n">
        <v>0</v>
      </c>
      <c r="AK12" s="26" t="n">
        <v>0</v>
      </c>
      <c r="AL12" s="17" t="n">
        <f aca="false">SUM(B12:AK12)</f>
        <v>33500</v>
      </c>
    </row>
    <row r="13" customFormat="false" ht="15" hidden="false" customHeight="true" outlineLevel="0" collapsed="false">
      <c r="A13" s="8" t="s">
        <v>339</v>
      </c>
      <c r="B13" s="17" t="n">
        <f aca="false">IF(B6&gt;0,B6*3%-0,0)</f>
        <v>242.151</v>
      </c>
      <c r="C13" s="17" t="n">
        <f aca="false">IF(C6&gt;0,C6*3%-B6*3%,0)</f>
        <v>155.9346</v>
      </c>
      <c r="D13" s="17" t="n">
        <f aca="false">IF(D6&gt;0,D6*3%-C6*3%,0)</f>
        <v>143.24163</v>
      </c>
      <c r="E13" s="17" t="n">
        <f aca="false">IF(E6&gt;0,E6*3%-D6*3%,0)</f>
        <v>160.40508</v>
      </c>
      <c r="F13" s="17" t="n">
        <f aca="false">IF(F6&gt;0,F6*3%-E6*3%,0)</f>
        <v>179.91021</v>
      </c>
      <c r="G13" s="17" t="n">
        <f aca="false">IF(G6&gt;0,G6*3%-F6*3%,0)</f>
        <v>222.03384</v>
      </c>
      <c r="H13" s="17" t="n">
        <f aca="false">IF(H6&gt;0,H6*3%-G6*3%,0)</f>
        <v>220.38402</v>
      </c>
      <c r="I13" s="17" t="n">
        <f aca="false">IF(I6&gt;0,I6*3%-H6*3%,0)</f>
        <v>229.83057</v>
      </c>
      <c r="J13" s="17" t="n">
        <f aca="false">IF(J6&gt;0,J6*3%-I6*3%,0)</f>
        <v>213.7780875</v>
      </c>
      <c r="K13" s="17" t="n">
        <f aca="false">IF(K6&gt;0,K6*3%-J6*3%,0)</f>
        <v>216.20625</v>
      </c>
      <c r="L13" s="17" t="n">
        <f aca="false">IF(L6&gt;0,L6*3%-K6*3%,0)</f>
        <v>222.6259125</v>
      </c>
      <c r="M13" s="17" t="n">
        <f aca="false">IF(M6&gt;0,M6*3%-L6*3%,0)</f>
        <v>231.706575</v>
      </c>
      <c r="N13" s="17" t="n">
        <f aca="false">IF(N6&gt;0,N6*3%-M6*3%,0)</f>
        <v>156.267225</v>
      </c>
      <c r="O13" s="17" t="n">
        <f aca="false">IF(O6&gt;0,O6*3%-N6*3%,0)</f>
        <v>172.965</v>
      </c>
      <c r="P13" s="17" t="n">
        <f aca="false">IF(P6&gt;0,P6*3%-O6*3%,0)</f>
        <v>0</v>
      </c>
      <c r="Q13" s="17" t="n">
        <f aca="false">IF(Q6&gt;0,Q6*3%-P6*3%,0)</f>
        <v>172.965</v>
      </c>
      <c r="R13" s="17" t="n">
        <f aca="false">IF(R6&gt;0,R6*3%-Q6*3%,0)</f>
        <v>0</v>
      </c>
      <c r="S13" s="17" t="n">
        <f aca="false">IF(S6&gt;0,S6*3%-R6*3%,0)</f>
        <v>172.965</v>
      </c>
      <c r="T13" s="17" t="n">
        <f aca="false">IF(T6&gt;0,T6*3%-S6*3%,0)</f>
        <v>0</v>
      </c>
      <c r="U13" s="17" t="n">
        <f aca="false">IF(U6&gt;0,U6*3%-T6*3%,0)</f>
        <v>172.965</v>
      </c>
      <c r="V13" s="17" t="n">
        <f aca="false">IF(V6&gt;0,V6*3%-U6*3%,0)</f>
        <v>0</v>
      </c>
      <c r="W13" s="17" t="n">
        <f aca="false">IF(W6&gt;0,W6*3%-V6*3%,0)</f>
        <v>172.965</v>
      </c>
      <c r="X13" s="17" t="n">
        <f aca="false">IF(X6&gt;0,X6*3%-W6*3%,0)</f>
        <v>0</v>
      </c>
      <c r="Y13" s="17" t="n">
        <f aca="false">IF(Y6&gt;0,Y6*3%-X6*3%,0)</f>
        <v>172.965</v>
      </c>
      <c r="Z13" s="17" t="n">
        <f aca="false">IF(Z6&gt;0,Z6*3%-Y6*3%,0)</f>
        <v>0</v>
      </c>
      <c r="AA13" s="17" t="n">
        <f aca="false">IF(AA6&gt;0,AA6*3%-Z6*3%,0)</f>
        <v>172.965</v>
      </c>
      <c r="AB13" s="17" t="n">
        <f aca="false">IF(AB6&gt;0,AB6*3%-AA6*3%,0)</f>
        <v>0</v>
      </c>
      <c r="AC13" s="17" t="n">
        <f aca="false">IF(AC6&gt;0,AC6*3%-AB6*3%,0)</f>
        <v>172.965</v>
      </c>
      <c r="AD13" s="17" t="n">
        <f aca="false">IF(AD6&gt;0,AD6*3%-AC6*3%,0)</f>
        <v>0</v>
      </c>
      <c r="AE13" s="17" t="n">
        <f aca="false">IF(AE6&gt;0,AE6*3%-AD6*3%,0)</f>
        <v>172.965</v>
      </c>
      <c r="AF13" s="17" t="n">
        <f aca="false">IF(AF6&gt;0,AF6*3%-AE6*3%,0)</f>
        <v>0</v>
      </c>
      <c r="AG13" s="17" t="n">
        <f aca="false">IF(AG6&gt;0,AG6*3%-AF6*3%,0)</f>
        <v>0</v>
      </c>
      <c r="AH13" s="17" t="n">
        <f aca="false">IF(AH6&gt;0,AH6*3%-AG6*3%,0)</f>
        <v>0</v>
      </c>
      <c r="AI13" s="17" t="n">
        <f aca="false">IF(AI6&gt;0,AI6*3%-AH6*3%,0)</f>
        <v>0</v>
      </c>
      <c r="AJ13" s="17" t="n">
        <f aca="false">IF(AJ6&gt;0,AJ6*3%-AI6*3%,0)</f>
        <v>0</v>
      </c>
      <c r="AK13" s="17" t="n">
        <f aca="false">IF(AK6&gt;0,AK6*3%-AJ6*3%,0)</f>
        <v>0</v>
      </c>
      <c r="AL13" s="17" t="n">
        <f aca="false">SUM(B13:AK13)</f>
        <v>4151.16</v>
      </c>
    </row>
    <row r="14" customFormat="false" ht="21.75" hidden="false" customHeight="true" outlineLevel="0" collapsed="false">
      <c r="A14" s="8" t="s">
        <v>340</v>
      </c>
      <c r="B14" s="17" t="n">
        <f aca="false">SUM(B9:B13)</f>
        <v>25540.3346</v>
      </c>
      <c r="C14" s="17" t="n">
        <f aca="false">SUM(C9:C13)</f>
        <v>25194.70676</v>
      </c>
      <c r="D14" s="17" t="n">
        <f aca="false">SUM(D9:D13)</f>
        <v>26634.400858</v>
      </c>
      <c r="E14" s="17" t="n">
        <f aca="false">SUM(E9:E13)</f>
        <v>30593.657796</v>
      </c>
      <c r="F14" s="17" t="n">
        <f aca="false">SUM(F9:F13)</f>
        <v>32998.132082</v>
      </c>
      <c r="G14" s="17" t="n">
        <f aca="false">SUM(G9:G13)</f>
        <v>37981.667136</v>
      </c>
      <c r="H14" s="17" t="n">
        <f aca="false">SUM(H9:H13)</f>
        <v>44783.968588</v>
      </c>
      <c r="I14" s="17" t="n">
        <f aca="false">SUM(I9:I13)</f>
        <v>50311.85599</v>
      </c>
      <c r="J14" s="17" t="n">
        <f aca="false">SUM(J9:J13)</f>
        <v>55349.7631225</v>
      </c>
      <c r="K14" s="17" t="n">
        <f aca="false">SUM(K9:K13)</f>
        <v>60461.283785</v>
      </c>
      <c r="L14" s="17" t="n">
        <f aca="false">SUM(L9:L13)</f>
        <v>65722.5582325</v>
      </c>
      <c r="M14" s="17" t="n">
        <f aca="false">SUM(M9:M13)</f>
        <v>71192.675565</v>
      </c>
      <c r="N14" s="17" t="n">
        <f aca="false">SUM(N9:N13)</f>
        <v>77865.377225</v>
      </c>
      <c r="O14" s="17" t="n">
        <f aca="false">SUM(O9:O13)</f>
        <v>81809.349</v>
      </c>
      <c r="P14" s="17" t="n">
        <f aca="false">SUM(P9:P13)</f>
        <v>81636.384</v>
      </c>
      <c r="Q14" s="17" t="n">
        <f aca="false">SUM(Q9:Q13)</f>
        <v>85736.623</v>
      </c>
      <c r="R14" s="17" t="n">
        <f aca="false">SUM(R9:R13)</f>
        <v>85563.658</v>
      </c>
      <c r="S14" s="17" t="n">
        <f aca="false">SUM(S9:S13)</f>
        <v>89663.897</v>
      </c>
      <c r="T14" s="17" t="n">
        <f aca="false">SUM(T9:T13)</f>
        <v>89490.932</v>
      </c>
      <c r="U14" s="17" t="n">
        <f aca="false">SUM(U9:U13)</f>
        <v>93591.171</v>
      </c>
      <c r="V14" s="17" t="n">
        <f aca="false">SUM(V9:V13)</f>
        <v>93418.206</v>
      </c>
      <c r="W14" s="17" t="n">
        <f aca="false">SUM(W9:W13)</f>
        <v>97518.445</v>
      </c>
      <c r="X14" s="17" t="n">
        <f aca="false">SUM(X9:X13)</f>
        <v>97345.48</v>
      </c>
      <c r="Y14" s="17" t="n">
        <f aca="false">SUM(Y9:Y13)</f>
        <v>101445.719</v>
      </c>
      <c r="Z14" s="17" t="n">
        <f aca="false">SUM(Z9:Z13)</f>
        <v>104672.754</v>
      </c>
      <c r="AA14" s="17" t="n">
        <f aca="false">SUM(AA9:AA13)</f>
        <v>108772.993</v>
      </c>
      <c r="AB14" s="17" t="n">
        <f aca="false">SUM(AB9:AB13)</f>
        <v>108600.028</v>
      </c>
      <c r="AC14" s="17" t="n">
        <f aca="false">SUM(AC9:AC13)</f>
        <v>112700.267</v>
      </c>
      <c r="AD14" s="17" t="n">
        <f aca="false">SUM(AD9:AD13)</f>
        <v>112527.302</v>
      </c>
      <c r="AE14" s="17" t="n">
        <f aca="false">SUM(AE9:AE13)</f>
        <v>116627.541</v>
      </c>
      <c r="AF14" s="17" t="n">
        <f aca="false">SUM(AF9:AF13)</f>
        <v>116454.576</v>
      </c>
      <c r="AG14" s="17" t="n">
        <f aca="false">SUM(AG9:AG13)</f>
        <v>116454.576</v>
      </c>
      <c r="AH14" s="17" t="n">
        <f aca="false">SUM(AH9:AH13)</f>
        <v>116454.576</v>
      </c>
      <c r="AI14" s="17" t="n">
        <f aca="false">SUM(AI9:AI13)</f>
        <v>116454.576</v>
      </c>
      <c r="AJ14" s="17" t="n">
        <f aca="false">SUM(AJ9:AJ13)</f>
        <v>116454.576</v>
      </c>
      <c r="AK14" s="17" t="n">
        <f aca="false">SUM(AK9:AK13)</f>
        <v>116454.576</v>
      </c>
      <c r="AL14" s="17" t="n">
        <f aca="false">SUM(B14:AK14)</f>
        <v>2964478.58674</v>
      </c>
    </row>
    <row r="15" customFormat="false" ht="21.75" hidden="false" customHeight="true" outlineLevel="0" collapsed="false">
      <c r="A15" s="8" t="s">
        <v>341</v>
      </c>
      <c r="B15" s="17" t="n">
        <f aca="false">B8-B14</f>
        <v>10531.3654</v>
      </c>
      <c r="C15" s="17" t="n">
        <f aca="false">C8-C14</f>
        <v>8074.81324</v>
      </c>
      <c r="D15" s="17" t="n">
        <f aca="false">D8-D14</f>
        <v>-8590.159858</v>
      </c>
      <c r="E15" s="17" t="n">
        <f aca="false">E8-E14</f>
        <v>12797.419204</v>
      </c>
      <c r="F15" s="17" t="n">
        <f aca="false">F8-F14</f>
        <v>-3610.04808200001</v>
      </c>
      <c r="G15" s="17" t="n">
        <f aca="false">G8-G14</f>
        <v>-1192.455136</v>
      </c>
      <c r="H15" s="17" t="n">
        <f aca="false">H8-H14</f>
        <v>-648.622587999998</v>
      </c>
      <c r="I15" s="17" t="n">
        <f aca="false">I8-I14</f>
        <v>1484.50901</v>
      </c>
      <c r="J15" s="17" t="n">
        <f aca="false">J8-J14</f>
        <v>3572.5381275</v>
      </c>
      <c r="K15" s="17" t="n">
        <f aca="false">K8-K14</f>
        <v>5667.892465</v>
      </c>
      <c r="L15" s="17" t="n">
        <f aca="false">L8-L14</f>
        <v>7827.48176749999</v>
      </c>
      <c r="M15" s="17" t="n">
        <f aca="false">M8-M14</f>
        <v>10080.916935</v>
      </c>
      <c r="N15" s="17" t="n">
        <f aca="false">N8-N14</f>
        <v>8617.122775</v>
      </c>
      <c r="O15" s="17" t="n">
        <f aca="false">O8-O14</f>
        <v>10438.651</v>
      </c>
      <c r="P15" s="17" t="n">
        <f aca="false">P8-P14</f>
        <v>10611.616</v>
      </c>
      <c r="Q15" s="17" t="n">
        <f aca="false">Q8-Q14</f>
        <v>12276.877</v>
      </c>
      <c r="R15" s="17" t="n">
        <f aca="false">R8-R14</f>
        <v>12449.842</v>
      </c>
      <c r="S15" s="17" t="n">
        <f aca="false">S8-S14</f>
        <v>14115.103</v>
      </c>
      <c r="T15" s="17" t="n">
        <f aca="false">T8-T14</f>
        <v>14288.068</v>
      </c>
      <c r="U15" s="17" t="n">
        <f aca="false">U8-U14</f>
        <v>15953.329</v>
      </c>
      <c r="V15" s="17" t="n">
        <f aca="false">V8-V14</f>
        <v>16126.294</v>
      </c>
      <c r="W15" s="17" t="n">
        <f aca="false">W8-W14</f>
        <v>17791.555</v>
      </c>
      <c r="X15" s="17" t="n">
        <f aca="false">X8-X14</f>
        <v>17964.52</v>
      </c>
      <c r="Y15" s="17" t="n">
        <f aca="false">Y8-Y14</f>
        <v>19629.781</v>
      </c>
      <c r="Z15" s="17" t="n">
        <f aca="false">Z8-Z14</f>
        <v>16402.746</v>
      </c>
      <c r="AA15" s="17" t="n">
        <f aca="false">AA8-AA14</f>
        <v>18068.007</v>
      </c>
      <c r="AB15" s="17" t="n">
        <f aca="false">AB8-AB14</f>
        <v>18240.972</v>
      </c>
      <c r="AC15" s="17" t="n">
        <f aca="false">AC8-AC14</f>
        <v>19906.233</v>
      </c>
      <c r="AD15" s="17" t="n">
        <f aca="false">AD8-AD14</f>
        <v>20079.198</v>
      </c>
      <c r="AE15" s="17" t="n">
        <f aca="false">AE8-AE14</f>
        <v>21744.459</v>
      </c>
      <c r="AF15" s="17" t="n">
        <f aca="false">AF8-AF14</f>
        <v>21917.424</v>
      </c>
      <c r="AG15" s="17" t="n">
        <f aca="false">AG8-AG14</f>
        <v>21917.424</v>
      </c>
      <c r="AH15" s="17" t="n">
        <f aca="false">AH8-AH14</f>
        <v>21917.424</v>
      </c>
      <c r="AI15" s="17" t="n">
        <f aca="false">AI8-AI14</f>
        <v>21917.424</v>
      </c>
      <c r="AJ15" s="17" t="n">
        <f aca="false">AJ8-AJ14</f>
        <v>21917.424</v>
      </c>
      <c r="AK15" s="17" t="n">
        <f aca="false">AK8-AK14</f>
        <v>21917.424</v>
      </c>
      <c r="AL15" s="17" t="n">
        <f aca="false">SUM(B15:AK15)</f>
        <v>462204.56826</v>
      </c>
    </row>
    <row r="16" customFormat="false" ht="21.75" hidden="false" customHeight="true" outlineLevel="0" collapsed="false">
      <c r="A16" s="8" t="s">
        <v>342</v>
      </c>
      <c r="B16" s="17" t="n">
        <f aca="false">B5+B15</f>
        <v>10531.3654</v>
      </c>
      <c r="C16" s="17" t="n">
        <f aca="false">C5+C15</f>
        <v>18606.17864</v>
      </c>
      <c r="D16" s="17" t="n">
        <f aca="false">D5+D15</f>
        <v>10016.018782</v>
      </c>
      <c r="E16" s="17" t="n">
        <f aca="false">E5+E15</f>
        <v>22813.437986</v>
      </c>
      <c r="F16" s="17" t="n">
        <f aca="false">F5+F15</f>
        <v>19203.389904</v>
      </c>
      <c r="G16" s="17" t="n">
        <f aca="false">G5+G15</f>
        <v>18010.934768</v>
      </c>
      <c r="H16" s="17" t="n">
        <f aca="false">H5+H15</f>
        <v>17362.31218</v>
      </c>
      <c r="I16" s="17" t="n">
        <f aca="false">I5+I15</f>
        <v>18846.82119</v>
      </c>
      <c r="J16" s="17" t="n">
        <f aca="false">J5+J15</f>
        <v>22419.3593175</v>
      </c>
      <c r="K16" s="17" t="n">
        <f aca="false">K5+K15</f>
        <v>28087.2517825</v>
      </c>
      <c r="L16" s="17" t="n">
        <f aca="false">L5+L15</f>
        <v>35914.73355</v>
      </c>
      <c r="M16" s="17" t="n">
        <f aca="false">M5+M15</f>
        <v>45995.650485</v>
      </c>
      <c r="N16" s="17" t="n">
        <f aca="false">N5+N15</f>
        <v>54612.77326</v>
      </c>
      <c r="O16" s="17" t="n">
        <f aca="false">O5+O15</f>
        <v>65051.42426</v>
      </c>
      <c r="P16" s="17" t="n">
        <f aca="false">P5+P15</f>
        <v>75663.04026</v>
      </c>
      <c r="Q16" s="17" t="n">
        <f aca="false">Q5+Q15</f>
        <v>87939.91726</v>
      </c>
      <c r="R16" s="17" t="n">
        <f aca="false">R5+R15</f>
        <v>100389.75926</v>
      </c>
      <c r="S16" s="17" t="n">
        <f aca="false">S5+S15</f>
        <v>114504.86226</v>
      </c>
      <c r="T16" s="17" t="n">
        <f aca="false">T5+T15</f>
        <v>128792.93026</v>
      </c>
      <c r="U16" s="17" t="n">
        <f aca="false">U5+U15</f>
        <v>144746.25926</v>
      </c>
      <c r="V16" s="17" t="n">
        <f aca="false">V5+V15</f>
        <v>160872.55326</v>
      </c>
      <c r="W16" s="17" t="n">
        <f aca="false">W5+W15</f>
        <v>178664.10826</v>
      </c>
      <c r="X16" s="17" t="n">
        <f aca="false">X5+X15</f>
        <v>196628.62826</v>
      </c>
      <c r="Y16" s="17" t="n">
        <f aca="false">Y5+Y15</f>
        <v>216258.40926</v>
      </c>
      <c r="Z16" s="17" t="n">
        <f aca="false">Z5+Z15</f>
        <v>232661.15526</v>
      </c>
      <c r="AA16" s="17" t="n">
        <f aca="false">AA5+AA15</f>
        <v>250729.16226</v>
      </c>
      <c r="AB16" s="17" t="n">
        <f aca="false">AB5+AB15</f>
        <v>268970.13426</v>
      </c>
      <c r="AC16" s="17" t="n">
        <f aca="false">AC5+AC15</f>
        <v>288876.36726</v>
      </c>
      <c r="AD16" s="17" t="n">
        <f aca="false">AD5+AD15</f>
        <v>308955.56526</v>
      </c>
      <c r="AE16" s="17" t="n">
        <f aca="false">AE5+AE15</f>
        <v>330700.02426</v>
      </c>
      <c r="AF16" s="17" t="n">
        <f aca="false">AF5+AF15</f>
        <v>352617.44826</v>
      </c>
      <c r="AG16" s="17" t="n">
        <f aca="false">AG5+AG15</f>
        <v>374534.87226</v>
      </c>
      <c r="AH16" s="17" t="n">
        <f aca="false">AH5+AH15</f>
        <v>396452.29626</v>
      </c>
      <c r="AI16" s="17" t="n">
        <f aca="false">AI5+AI15</f>
        <v>418369.72026</v>
      </c>
      <c r="AJ16" s="17" t="n">
        <f aca="false">AJ5+AJ15</f>
        <v>440287.14426</v>
      </c>
      <c r="AK16" s="17" t="n">
        <f aca="false">AK5+AK15</f>
        <v>462204.56826</v>
      </c>
      <c r="AL16" s="17" t="n">
        <f aca="false">AK16</f>
        <v>462204.56826</v>
      </c>
    </row>
    <row r="17" customFormat="false" ht="15" hidden="false" customHeight="true" outlineLevel="0" collapsed="false">
      <c r="A17" s="8" t="s">
        <v>343</v>
      </c>
      <c r="B17" s="17" t="n">
        <f aca="false">INDEX('Исходные данные'!$K$8:$K$29,MATCH("A22",'Исходные данные'!$J$8:$J$29,0))</f>
        <v>10000</v>
      </c>
      <c r="C17" s="17" t="n">
        <f aca="false">INDEX('Исходные данные'!$K$8:$K$29,MATCH("A22",'Исходные данные'!$J$8:$J$29,0))</f>
        <v>10000</v>
      </c>
      <c r="D17" s="17" t="n">
        <f aca="false">INDEX('Исходные данные'!$K$8:$K$29,MATCH("A22",'Исходные данные'!$J$8:$J$29,0))</f>
        <v>10000</v>
      </c>
      <c r="E17" s="17" t="n">
        <f aca="false">INDEX('Исходные данные'!$K$8:$K$29,MATCH("A22",'Исходные данные'!$J$8:$J$29,0))</f>
        <v>10000</v>
      </c>
      <c r="F17" s="17" t="n">
        <f aca="false">INDEX('Исходные данные'!$K$8:$K$29,MATCH("A22",'Исходные данные'!$J$8:$J$29,0))</f>
        <v>10000</v>
      </c>
      <c r="G17" s="17" t="n">
        <f aca="false">INDEX('Исходные данные'!$K$8:$K$29,MATCH("A22",'Исходные данные'!$J$8:$J$29,0))</f>
        <v>10000</v>
      </c>
      <c r="H17" s="17" t="n">
        <f aca="false">INDEX('Исходные данные'!$K$8:$K$29,MATCH("A22",'Исходные данные'!$J$8:$J$29,0))</f>
        <v>10000</v>
      </c>
      <c r="I17" s="17" t="n">
        <f aca="false">INDEX('Исходные данные'!$K$8:$K$29,MATCH("A22",'Исходные данные'!$J$8:$J$29,0))</f>
        <v>10000</v>
      </c>
      <c r="J17" s="17" t="n">
        <f aca="false">INDEX('Исходные данные'!$K$8:$K$29,MATCH("A22",'Исходные данные'!$J$8:$J$29,0))</f>
        <v>10000</v>
      </c>
      <c r="K17" s="17" t="n">
        <f aca="false">INDEX('Исходные данные'!$K$8:$K$29,MATCH("A22",'Исходные данные'!$J$8:$J$29,0))</f>
        <v>10000</v>
      </c>
      <c r="L17" s="17" t="n">
        <f aca="false">INDEX('Исходные данные'!$K$8:$K$29,MATCH("A22",'Исходные данные'!$J$8:$J$29,0))</f>
        <v>10000</v>
      </c>
      <c r="M17" s="17" t="n">
        <f aca="false">INDEX('Исходные данные'!$K$8:$K$29,MATCH("A22",'Исходные данные'!$J$8:$J$29,0))</f>
        <v>10000</v>
      </c>
      <c r="N17" s="17" t="n">
        <f aca="false">INDEX('Исходные данные'!$K$8:$K$29,MATCH("A22",'Исходные данные'!$J$8:$J$29,0))</f>
        <v>10000</v>
      </c>
      <c r="O17" s="17" t="n">
        <f aca="false">INDEX('Исходные данные'!$K$8:$K$29,MATCH("A22",'Исходные данные'!$J$8:$J$29,0))</f>
        <v>10000</v>
      </c>
      <c r="P17" s="17" t="n">
        <f aca="false">INDEX('Исходные данные'!$K$8:$K$29,MATCH("A22",'Исходные данные'!$J$8:$J$29,0))</f>
        <v>10000</v>
      </c>
      <c r="Q17" s="17" t="n">
        <f aca="false">INDEX('Исходные данные'!$K$8:$K$29,MATCH("A22",'Исходные данные'!$J$8:$J$29,0))</f>
        <v>10000</v>
      </c>
      <c r="R17" s="17" t="n">
        <f aca="false">INDEX('Исходные данные'!$K$8:$K$29,MATCH("A22",'Исходные данные'!$J$8:$J$29,0))</f>
        <v>10000</v>
      </c>
      <c r="S17" s="17" t="n">
        <f aca="false">INDEX('Исходные данные'!$K$8:$K$29,MATCH("A22",'Исходные данные'!$J$8:$J$29,0))</f>
        <v>10000</v>
      </c>
      <c r="T17" s="17" t="n">
        <f aca="false">INDEX('Исходные данные'!$K$8:$K$29,MATCH("A22",'Исходные данные'!$J$8:$J$29,0))</f>
        <v>10000</v>
      </c>
      <c r="U17" s="17" t="n">
        <f aca="false">INDEX('Исходные данные'!$K$8:$K$29,MATCH("A22",'Исходные данные'!$J$8:$J$29,0))</f>
        <v>10000</v>
      </c>
      <c r="V17" s="17" t="n">
        <f aca="false">INDEX('Исходные данные'!$K$8:$K$29,MATCH("A22",'Исходные данные'!$J$8:$J$29,0))</f>
        <v>10000</v>
      </c>
      <c r="W17" s="17" t="n">
        <f aca="false">INDEX('Исходные данные'!$K$8:$K$29,MATCH("A22",'Исходные данные'!$J$8:$J$29,0))</f>
        <v>10000</v>
      </c>
      <c r="X17" s="17" t="n">
        <f aca="false">INDEX('Исходные данные'!$K$8:$K$29,MATCH("A22",'Исходные данные'!$J$8:$J$29,0))</f>
        <v>10000</v>
      </c>
      <c r="Y17" s="17" t="n">
        <f aca="false">INDEX('Исходные данные'!$K$8:$K$29,MATCH("A22",'Исходные данные'!$J$8:$J$29,0))</f>
        <v>10000</v>
      </c>
      <c r="Z17" s="17" t="n">
        <f aca="false">INDEX('Исходные данные'!$K$8:$K$29,MATCH("A22",'Исходные данные'!$J$8:$J$29,0))</f>
        <v>10000</v>
      </c>
      <c r="AA17" s="17" t="n">
        <f aca="false">INDEX('Исходные данные'!$K$8:$K$29,MATCH("A22",'Исходные данные'!$J$8:$J$29,0))</f>
        <v>10000</v>
      </c>
      <c r="AB17" s="17" t="n">
        <f aca="false">INDEX('Исходные данные'!$K$8:$K$29,MATCH("A22",'Исходные данные'!$J$8:$J$29,0))</f>
        <v>10000</v>
      </c>
      <c r="AC17" s="17" t="n">
        <f aca="false">INDEX('Исходные данные'!$K$8:$K$29,MATCH("A22",'Исходные данные'!$J$8:$J$29,0))</f>
        <v>10000</v>
      </c>
      <c r="AD17" s="17" t="n">
        <f aca="false">INDEX('Исходные данные'!$K$8:$K$29,MATCH("A22",'Исходные данные'!$J$8:$J$29,0))</f>
        <v>10000</v>
      </c>
      <c r="AE17" s="17" t="n">
        <f aca="false">INDEX('Исходные данные'!$K$8:$K$29,MATCH("A22",'Исходные данные'!$J$8:$J$29,0))</f>
        <v>10000</v>
      </c>
      <c r="AF17" s="17" t="n">
        <f aca="false">INDEX('Исходные данные'!$K$8:$K$29,MATCH("A22",'Исходные данные'!$J$8:$J$29,0))</f>
        <v>10000</v>
      </c>
      <c r="AG17" s="17" t="n">
        <f aca="false">INDEX('Исходные данные'!$K$8:$K$29,MATCH("A22",'Исходные данные'!$J$8:$J$29,0))</f>
        <v>10000</v>
      </c>
      <c r="AH17" s="17" t="n">
        <f aca="false">INDEX('Исходные данные'!$K$8:$K$29,MATCH("A22",'Исходные данные'!$J$8:$J$29,0))</f>
        <v>10000</v>
      </c>
      <c r="AI17" s="17" t="n">
        <f aca="false">INDEX('Исходные данные'!$K$8:$K$29,MATCH("A22",'Исходные данные'!$J$8:$J$29,0))</f>
        <v>10000</v>
      </c>
      <c r="AJ17" s="17" t="n">
        <f aca="false">INDEX('Исходные данные'!$K$8:$K$29,MATCH("A22",'Исходные данные'!$J$8:$J$29,0))</f>
        <v>10000</v>
      </c>
      <c r="AK17" s="17" t="n">
        <f aca="false">INDEX('Исходные данные'!$K$8:$K$29,MATCH("A22",'Исходные данные'!$J$8:$J$29,0))</f>
        <v>10000</v>
      </c>
      <c r="AL17" s="17" t="n">
        <f aca="false">AK17</f>
        <v>10000</v>
      </c>
    </row>
    <row r="18" customFormat="false" ht="21.75" hidden="false" customHeight="true" outlineLevel="0" collapsed="false">
      <c r="A18" s="8" t="s">
        <v>344</v>
      </c>
      <c r="B18" s="17" t="n">
        <f aca="false">B16-B17</f>
        <v>531.365400000002</v>
      </c>
      <c r="C18" s="17" t="n">
        <f aca="false">C16-C17</f>
        <v>8606.17864000001</v>
      </c>
      <c r="D18" s="17" t="n">
        <f aca="false">D16-D17</f>
        <v>16.0187820000065</v>
      </c>
      <c r="E18" s="17" t="n">
        <f aca="false">E16-E17</f>
        <v>12813.437986</v>
      </c>
      <c r="F18" s="17" t="n">
        <f aca="false">F16-F17</f>
        <v>9203.389904</v>
      </c>
      <c r="G18" s="17" t="n">
        <f aca="false">G16-G17</f>
        <v>8010.93476800001</v>
      </c>
      <c r="H18" s="17" t="n">
        <f aca="false">H16-H17</f>
        <v>7362.31218000001</v>
      </c>
      <c r="I18" s="17" t="n">
        <f aca="false">I16-I17</f>
        <v>8846.82119000001</v>
      </c>
      <c r="J18" s="17" t="n">
        <f aca="false">J16-J17</f>
        <v>12419.3593175</v>
      </c>
      <c r="K18" s="17" t="n">
        <f aca="false">K16-K17</f>
        <v>18087.2517825</v>
      </c>
      <c r="L18" s="17" t="n">
        <f aca="false">L16-L17</f>
        <v>25914.73355</v>
      </c>
      <c r="M18" s="17" t="n">
        <f aca="false">M16-M17</f>
        <v>35995.650485</v>
      </c>
      <c r="N18" s="17" t="n">
        <f aca="false">N16-N17</f>
        <v>44612.77326</v>
      </c>
      <c r="O18" s="17" t="n">
        <f aca="false">O16-O17</f>
        <v>55051.42426</v>
      </c>
      <c r="P18" s="17" t="n">
        <f aca="false">P16-P17</f>
        <v>65663.04026</v>
      </c>
      <c r="Q18" s="17" t="n">
        <f aca="false">Q16-Q17</f>
        <v>77939.91726</v>
      </c>
      <c r="R18" s="17" t="n">
        <f aca="false">R16-R17</f>
        <v>90389.75926</v>
      </c>
      <c r="S18" s="17" t="n">
        <f aca="false">S16-S17</f>
        <v>104504.86226</v>
      </c>
      <c r="T18" s="17" t="n">
        <f aca="false">T16-T17</f>
        <v>118792.93026</v>
      </c>
      <c r="U18" s="17" t="n">
        <f aca="false">U16-U17</f>
        <v>134746.25926</v>
      </c>
      <c r="V18" s="17" t="n">
        <f aca="false">V16-V17</f>
        <v>150872.55326</v>
      </c>
      <c r="W18" s="17" t="n">
        <f aca="false">W16-W17</f>
        <v>168664.10826</v>
      </c>
      <c r="X18" s="17" t="n">
        <f aca="false">X16-X17</f>
        <v>186628.62826</v>
      </c>
      <c r="Y18" s="17" t="n">
        <f aca="false">Y16-Y17</f>
        <v>206258.40926</v>
      </c>
      <c r="Z18" s="17" t="n">
        <f aca="false">Z16-Z17</f>
        <v>222661.15526</v>
      </c>
      <c r="AA18" s="17" t="n">
        <f aca="false">AA16-AA17</f>
        <v>240729.16226</v>
      </c>
      <c r="AB18" s="17" t="n">
        <f aca="false">AB16-AB17</f>
        <v>258970.13426</v>
      </c>
      <c r="AC18" s="17" t="n">
        <f aca="false">AC16-AC17</f>
        <v>278876.36726</v>
      </c>
      <c r="AD18" s="17" t="n">
        <f aca="false">AD16-AD17</f>
        <v>298955.56526</v>
      </c>
      <c r="AE18" s="17" t="n">
        <f aca="false">AE16-AE17</f>
        <v>320700.02426</v>
      </c>
      <c r="AF18" s="17" t="n">
        <f aca="false">AF16-AF17</f>
        <v>342617.44826</v>
      </c>
      <c r="AG18" s="17" t="n">
        <f aca="false">AG16-AG17</f>
        <v>364534.87226</v>
      </c>
      <c r="AH18" s="17" t="n">
        <f aca="false">AH16-AH17</f>
        <v>386452.29626</v>
      </c>
      <c r="AI18" s="17" t="n">
        <f aca="false">AI16-AI17</f>
        <v>408369.72026</v>
      </c>
      <c r="AJ18" s="17" t="n">
        <f aca="false">AJ16-AJ17</f>
        <v>430287.14426</v>
      </c>
      <c r="AK18" s="17" t="n">
        <f aca="false">AK16-AK17</f>
        <v>452204.56826</v>
      </c>
      <c r="AL18" s="17" t="n">
        <f aca="false">AK18</f>
        <v>452204.56826</v>
      </c>
    </row>
  </sheetData>
  <mergeCells count="2">
    <mergeCell ref="A1:AN1"/>
    <mergeCell ref="A2:AN2"/>
  </mergeCells>
  <conditionalFormatting sqref="B18:AK1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15" min="2" style="1" width="13"/>
  </cols>
  <sheetData>
    <row r="1" customFormat="false" ht="36" hidden="false" customHeight="true" outlineLevel="0" collapsed="false">
      <c r="A1" s="2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1.5" hidden="false" customHeight="true" outlineLevel="0" collapsed="false">
      <c r="A2" s="3" t="s">
        <v>346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31.5" hidden="false" customHeight="true" outlineLevel="0" collapsed="false">
      <c r="A4" s="6" t="s">
        <v>13</v>
      </c>
      <c r="B4" s="6" t="s">
        <v>347</v>
      </c>
      <c r="C4" s="6" t="s">
        <v>348</v>
      </c>
      <c r="D4" s="6" t="s">
        <v>349</v>
      </c>
      <c r="E4" s="6" t="s">
        <v>350</v>
      </c>
      <c r="F4" s="6" t="s">
        <v>351</v>
      </c>
      <c r="G4" s="6" t="s">
        <v>352</v>
      </c>
      <c r="H4" s="6" t="s">
        <v>353</v>
      </c>
      <c r="I4" s="6" t="s">
        <v>354</v>
      </c>
      <c r="J4" s="6" t="s">
        <v>355</v>
      </c>
      <c r="K4" s="6" t="s">
        <v>356</v>
      </c>
      <c r="L4" s="6" t="s">
        <v>357</v>
      </c>
      <c r="M4" s="6" t="s">
        <v>358</v>
      </c>
      <c r="N4" s="6" t="s">
        <v>359</v>
      </c>
      <c r="O4" s="6" t="s">
        <v>334</v>
      </c>
    </row>
    <row r="5" customFormat="false" ht="15" hidden="false" customHeight="true" outlineLevel="0" collapsed="false">
      <c r="A5" s="8" t="s">
        <v>360</v>
      </c>
      <c r="B5" s="27" t="n">
        <v>0</v>
      </c>
      <c r="C5" s="27" t="n">
        <v>0</v>
      </c>
      <c r="D5" s="27" t="n">
        <v>40</v>
      </c>
      <c r="E5" s="27" t="n">
        <v>60</v>
      </c>
      <c r="F5" s="27" t="n">
        <v>80</v>
      </c>
      <c r="G5" s="27" t="n">
        <v>100</v>
      </c>
      <c r="H5" s="27" t="n">
        <v>120</v>
      </c>
      <c r="I5" s="27" t="n">
        <v>140</v>
      </c>
      <c r="J5" s="27" t="n">
        <v>160</v>
      </c>
      <c r="K5" s="27" t="n">
        <v>180</v>
      </c>
      <c r="L5" s="27" t="n">
        <v>200</v>
      </c>
      <c r="M5" s="27" t="n">
        <v>220</v>
      </c>
      <c r="N5" s="27" t="n">
        <v>240</v>
      </c>
      <c r="O5" s="19" t="n">
        <f aca="false">SUM(B5:N5)</f>
        <v>1540</v>
      </c>
    </row>
    <row r="6" customFormat="false" ht="15" hidden="false" customHeight="true" outlineLevel="0" collapsed="false">
      <c r="A6" s="8" t="s">
        <v>99</v>
      </c>
      <c r="B6" s="17" t="n">
        <f aca="false">INDEX('Исходные данные'!$K$8:$K$29,MATCH("A01",'Исходные данные'!$J$8:$J$29,0))</f>
        <v>44.35</v>
      </c>
      <c r="C6" s="17" t="n">
        <f aca="false">INDEX('Исходные данные'!$K$8:$K$29,MATCH("A01",'Исходные данные'!$J$8:$J$29,0))</f>
        <v>44.35</v>
      </c>
      <c r="D6" s="17" t="n">
        <f aca="false">INDEX('Исходные данные'!$K$8:$K$29,MATCH("A01",'Исходные данные'!$J$8:$J$29,0))</f>
        <v>44.35</v>
      </c>
      <c r="E6" s="17" t="n">
        <f aca="false">INDEX('Исходные данные'!$K$8:$K$29,MATCH("A01",'Исходные данные'!$J$8:$J$29,0))</f>
        <v>44.35</v>
      </c>
      <c r="F6" s="17" t="n">
        <f aca="false">INDEX('Исходные данные'!$K$8:$K$29,MATCH("A01",'Исходные данные'!$J$8:$J$29,0))</f>
        <v>44.35</v>
      </c>
      <c r="G6" s="17" t="n">
        <f aca="false">INDEX('Исходные данные'!$K$8:$K$29,MATCH("A01",'Исходные данные'!$J$8:$J$29,0))</f>
        <v>44.35</v>
      </c>
      <c r="H6" s="17" t="n">
        <f aca="false">INDEX('Исходные данные'!$K$8:$K$29,MATCH("A01",'Исходные данные'!$J$8:$J$29,0))</f>
        <v>44.35</v>
      </c>
      <c r="I6" s="17" t="n">
        <f aca="false">INDEX('Исходные данные'!$K$8:$K$29,MATCH("A01",'Исходные данные'!$J$8:$J$29,0))</f>
        <v>44.35</v>
      </c>
      <c r="J6" s="17" t="n">
        <f aca="false">INDEX('Исходные данные'!$K$8:$K$29,MATCH("A01",'Исходные данные'!$J$8:$J$29,0))</f>
        <v>44.35</v>
      </c>
      <c r="K6" s="17" t="n">
        <f aca="false">INDEX('Исходные данные'!$K$8:$K$29,MATCH("A01",'Исходные данные'!$J$8:$J$29,0))</f>
        <v>44.35</v>
      </c>
      <c r="L6" s="17" t="n">
        <f aca="false">INDEX('Исходные данные'!$K$8:$K$29,MATCH("A01",'Исходные данные'!$J$8:$J$29,0))</f>
        <v>44.35</v>
      </c>
      <c r="M6" s="17" t="n">
        <f aca="false">INDEX('Исходные данные'!$K$8:$K$29,MATCH("A01",'Исходные данные'!$J$8:$J$29,0))</f>
        <v>44.35</v>
      </c>
      <c r="N6" s="17" t="n">
        <f aca="false">INDEX('Исходные данные'!$K$8:$K$29,MATCH("A01",'Исходные данные'!$J$8:$J$29,0))</f>
        <v>44.35</v>
      </c>
      <c r="O6" s="17" t="n">
        <f aca="false">SUM(B6:N6)</f>
        <v>576.55</v>
      </c>
    </row>
    <row r="7" customFormat="false" ht="15" hidden="false" customHeight="true" outlineLevel="0" collapsed="false">
      <c r="A7" s="8" t="s">
        <v>325</v>
      </c>
      <c r="B7" s="17" t="n">
        <f aca="false">B5*B6</f>
        <v>0</v>
      </c>
      <c r="C7" s="17" t="n">
        <f aca="false">C5*C6</f>
        <v>0</v>
      </c>
      <c r="D7" s="17" t="n">
        <f aca="false">D5*D6</f>
        <v>1774</v>
      </c>
      <c r="E7" s="17" t="n">
        <f aca="false">E5*E6</f>
        <v>2661</v>
      </c>
      <c r="F7" s="17" t="n">
        <f aca="false">F5*F6</f>
        <v>3548</v>
      </c>
      <c r="G7" s="17" t="n">
        <f aca="false">G5*G6</f>
        <v>4435</v>
      </c>
      <c r="H7" s="17" t="n">
        <f aca="false">H5*H6</f>
        <v>5322</v>
      </c>
      <c r="I7" s="17" t="n">
        <f aca="false">I5*I6</f>
        <v>6209</v>
      </c>
      <c r="J7" s="17" t="n">
        <f aca="false">J5*J6</f>
        <v>7096</v>
      </c>
      <c r="K7" s="17" t="n">
        <f aca="false">K5*K6</f>
        <v>7983</v>
      </c>
      <c r="L7" s="17" t="n">
        <f aca="false">L5*L6</f>
        <v>8870</v>
      </c>
      <c r="M7" s="17" t="n">
        <f aca="false">M5*M6</f>
        <v>9757</v>
      </c>
      <c r="N7" s="17" t="n">
        <f aca="false">N5*N6</f>
        <v>10644</v>
      </c>
      <c r="O7" s="17" t="n">
        <f aca="false">SUM(B7:N7)</f>
        <v>68299</v>
      </c>
    </row>
    <row r="8" customFormat="false" ht="15" hidden="false" customHeight="true" outlineLevel="0" collapsed="false">
      <c r="A8" s="8" t="s">
        <v>326</v>
      </c>
      <c r="B8" s="17" t="n">
        <f aca="false">'Экономика дня'!$B$14</f>
        <v>34.4228</v>
      </c>
      <c r="C8" s="17" t="n">
        <f aca="false">'Экономика дня'!$B$14</f>
        <v>34.4228</v>
      </c>
      <c r="D8" s="17" t="n">
        <f aca="false">'Экономика дня'!$B$14</f>
        <v>34.4228</v>
      </c>
      <c r="E8" s="17" t="n">
        <f aca="false">'Экономика дня'!$B$14</f>
        <v>34.4228</v>
      </c>
      <c r="F8" s="17" t="n">
        <f aca="false">'Экономика дня'!$B$14</f>
        <v>34.4228</v>
      </c>
      <c r="G8" s="17" t="n">
        <f aca="false">'Экономика дня'!$B$14</f>
        <v>34.4228</v>
      </c>
      <c r="H8" s="17" t="n">
        <f aca="false">'Экономика дня'!$B$14</f>
        <v>34.4228</v>
      </c>
      <c r="I8" s="17" t="n">
        <f aca="false">'Экономика дня'!$B$14</f>
        <v>34.4228</v>
      </c>
      <c r="J8" s="17" t="n">
        <f aca="false">'Экономика дня'!$C$14</f>
        <v>30.2098</v>
      </c>
      <c r="K8" s="17" t="n">
        <f aca="false">'Экономика дня'!$C$14</f>
        <v>30.2098</v>
      </c>
      <c r="L8" s="17" t="n">
        <f aca="false">'Экономика дня'!$C$14</f>
        <v>30.2098</v>
      </c>
      <c r="M8" s="17" t="n">
        <f aca="false">'Экономика дня'!$C$14</f>
        <v>30.2098</v>
      </c>
      <c r="N8" s="17" t="n">
        <f aca="false">'Экономика дня'!$C$14</f>
        <v>30.2098</v>
      </c>
      <c r="O8" s="17" t="n">
        <f aca="false">SUM(B8:N8)</f>
        <v>426.4314</v>
      </c>
    </row>
    <row r="9" customFormat="false" ht="15" hidden="false" customHeight="true" outlineLevel="0" collapsed="false">
      <c r="A9" s="8" t="s">
        <v>106</v>
      </c>
      <c r="B9" s="17" t="n">
        <f aca="false">B5*B8</f>
        <v>0</v>
      </c>
      <c r="C9" s="17" t="n">
        <f aca="false">C5*C8</f>
        <v>0</v>
      </c>
      <c r="D9" s="17" t="n">
        <f aca="false">D5*D8</f>
        <v>1376.912</v>
      </c>
      <c r="E9" s="17" t="n">
        <f aca="false">E5*E8</f>
        <v>2065.368</v>
      </c>
      <c r="F9" s="17" t="n">
        <f aca="false">F5*F8</f>
        <v>2753.824</v>
      </c>
      <c r="G9" s="17" t="n">
        <f aca="false">G5*G8</f>
        <v>3442.28</v>
      </c>
      <c r="H9" s="17" t="n">
        <f aca="false">H5*H8</f>
        <v>4130.736</v>
      </c>
      <c r="I9" s="17" t="n">
        <f aca="false">I5*I8</f>
        <v>4819.192</v>
      </c>
      <c r="J9" s="17" t="n">
        <f aca="false">J5*J8</f>
        <v>4833.568</v>
      </c>
      <c r="K9" s="17" t="n">
        <f aca="false">K5*K8</f>
        <v>5437.764</v>
      </c>
      <c r="L9" s="17" t="n">
        <f aca="false">L5*L8</f>
        <v>6041.96</v>
      </c>
      <c r="M9" s="17" t="n">
        <f aca="false">M5*M8</f>
        <v>6646.156</v>
      </c>
      <c r="N9" s="17" t="n">
        <f aca="false">N5*N8</f>
        <v>7250.352</v>
      </c>
      <c r="O9" s="17" t="n">
        <f aca="false">SUM(B9:N9)</f>
        <v>48798.112</v>
      </c>
    </row>
    <row r="10" customFormat="false" ht="15" hidden="false" customHeight="true" outlineLevel="0" collapsed="false">
      <c r="A10" s="8" t="s">
        <v>327</v>
      </c>
      <c r="B10" s="26" t="n">
        <v>1750</v>
      </c>
      <c r="C10" s="26" t="n">
        <v>1750</v>
      </c>
      <c r="D10" s="26" t="n">
        <v>1750</v>
      </c>
      <c r="E10" s="26" t="n">
        <v>1750</v>
      </c>
      <c r="F10" s="26" t="n">
        <v>1750</v>
      </c>
      <c r="G10" s="26" t="n">
        <v>1750</v>
      </c>
      <c r="H10" s="26" t="n">
        <v>1750</v>
      </c>
      <c r="I10" s="26" t="n">
        <v>1750</v>
      </c>
      <c r="J10" s="26" t="n">
        <v>1750</v>
      </c>
      <c r="K10" s="26" t="n">
        <v>1750</v>
      </c>
      <c r="L10" s="26" t="n">
        <v>1750</v>
      </c>
      <c r="M10" s="26" t="n">
        <v>1750</v>
      </c>
      <c r="N10" s="26" t="n">
        <v>1750</v>
      </c>
      <c r="O10" s="17" t="n">
        <f aca="false">SUM(B10:N10)</f>
        <v>22750</v>
      </c>
    </row>
    <row r="11" customFormat="false" ht="15" hidden="false" customHeight="true" outlineLevel="0" collapsed="false">
      <c r="A11" s="8" t="s">
        <v>328</v>
      </c>
      <c r="B11" s="26" t="n">
        <v>0</v>
      </c>
      <c r="C11" s="26" t="n">
        <v>0</v>
      </c>
      <c r="D11" s="26" t="n">
        <v>800</v>
      </c>
      <c r="E11" s="26" t="n">
        <v>800</v>
      </c>
      <c r="F11" s="26" t="n">
        <v>1000</v>
      </c>
      <c r="G11" s="26" t="n">
        <v>1000</v>
      </c>
      <c r="H11" s="26" t="n">
        <v>1200</v>
      </c>
      <c r="I11" s="26" t="n">
        <v>1200</v>
      </c>
      <c r="J11" s="26" t="n">
        <v>1400</v>
      </c>
      <c r="K11" s="26" t="n">
        <v>1400</v>
      </c>
      <c r="L11" s="26" t="n">
        <v>1600</v>
      </c>
      <c r="M11" s="26" t="n">
        <v>1600</v>
      </c>
      <c r="N11" s="26" t="n">
        <v>1800</v>
      </c>
      <c r="O11" s="17" t="n">
        <f aca="false">SUM(B11:N11)</f>
        <v>13800</v>
      </c>
    </row>
    <row r="12" customFormat="false" ht="15" hidden="false" customHeight="true" outlineLevel="0" collapsed="false">
      <c r="A12" s="8" t="s">
        <v>361</v>
      </c>
      <c r="B12" s="26" t="n">
        <v>9000</v>
      </c>
      <c r="C12" s="26" t="n">
        <v>6000</v>
      </c>
      <c r="D12" s="26" t="n">
        <v>4000</v>
      </c>
      <c r="E12" s="26" t="n">
        <v>2500</v>
      </c>
      <c r="F12" s="26" t="n">
        <v>1500</v>
      </c>
      <c r="G12" s="26" t="n">
        <v>1000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17" t="n">
        <f aca="false">SUM(B12:N12)</f>
        <v>24000</v>
      </c>
    </row>
    <row r="13" customFormat="false" ht="15" hidden="false" customHeight="true" outlineLevel="0" collapsed="false">
      <c r="A13" s="8" t="s">
        <v>336</v>
      </c>
      <c r="B13" s="26" t="n">
        <v>28000</v>
      </c>
      <c r="C13" s="26" t="n">
        <v>0</v>
      </c>
      <c r="D13" s="26" t="n">
        <v>20000</v>
      </c>
      <c r="E13" s="26" t="n">
        <v>0</v>
      </c>
      <c r="F13" s="26" t="n">
        <v>0</v>
      </c>
      <c r="G13" s="26" t="n">
        <v>0</v>
      </c>
      <c r="H13" s="26" t="n">
        <v>20000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17" t="n">
        <f aca="false">SUM(B13:N13)</f>
        <v>68000</v>
      </c>
    </row>
    <row r="14" customFormat="false" ht="15" hidden="false" customHeight="true" outlineLevel="0" collapsed="false">
      <c r="A14" s="8" t="s">
        <v>341</v>
      </c>
      <c r="B14" s="17" t="n">
        <f aca="false">B7+B13-SUM(B9:B12)</f>
        <v>17250</v>
      </c>
      <c r="C14" s="17" t="n">
        <f aca="false">C7+C13-SUM(C9:C12)</f>
        <v>-7750</v>
      </c>
      <c r="D14" s="17" t="n">
        <f aca="false">D7+D13-SUM(D9:D12)</f>
        <v>13847.088</v>
      </c>
      <c r="E14" s="17" t="n">
        <f aca="false">E7+E13-SUM(E9:E12)</f>
        <v>-4454.368</v>
      </c>
      <c r="F14" s="17" t="n">
        <f aca="false">F7+F13-SUM(F9:F12)</f>
        <v>-3455.824</v>
      </c>
      <c r="G14" s="17" t="n">
        <f aca="false">G7+G13-SUM(G9:G12)</f>
        <v>-2757.28</v>
      </c>
      <c r="H14" s="17" t="n">
        <f aca="false">H7+H13-SUM(H9:H12)</f>
        <v>18241.264</v>
      </c>
      <c r="I14" s="17" t="n">
        <f aca="false">I7+I13-SUM(I9:I12)</f>
        <v>-1560.192</v>
      </c>
      <c r="J14" s="17" t="n">
        <f aca="false">J7+J13-SUM(J9:J12)</f>
        <v>-887.568</v>
      </c>
      <c r="K14" s="17" t="n">
        <f aca="false">K7+K13-SUM(K9:K12)</f>
        <v>-604.763999999999</v>
      </c>
      <c r="L14" s="17" t="n">
        <f aca="false">L7+L13-SUM(L9:L12)</f>
        <v>-521.959999999999</v>
      </c>
      <c r="M14" s="17" t="n">
        <f aca="false">M7+M13-SUM(M9:M12)</f>
        <v>-239.155999999999</v>
      </c>
      <c r="N14" s="17" t="n">
        <f aca="false">N7+N13-SUM(N9:N12)</f>
        <v>-156.352000000001</v>
      </c>
      <c r="O14" s="17" t="n">
        <f aca="false">SUM(B14:N14)</f>
        <v>26950.888</v>
      </c>
    </row>
    <row r="15" customFormat="false" ht="15" hidden="false" customHeight="true" outlineLevel="0" collapsed="false">
      <c r="A15" s="8" t="s">
        <v>342</v>
      </c>
      <c r="B15" s="17" t="n">
        <f aca="false">B14</f>
        <v>17250</v>
      </c>
      <c r="C15" s="17" t="n">
        <f aca="false">B15+C14</f>
        <v>9500</v>
      </c>
      <c r="D15" s="17" t="n">
        <f aca="false">C15+D14</f>
        <v>23347.088</v>
      </c>
      <c r="E15" s="17" t="n">
        <f aca="false">D15+E14</f>
        <v>18892.72</v>
      </c>
      <c r="F15" s="17" t="n">
        <f aca="false">E15+F14</f>
        <v>15436.896</v>
      </c>
      <c r="G15" s="17" t="n">
        <f aca="false">F15+G14</f>
        <v>12679.616</v>
      </c>
      <c r="H15" s="17" t="n">
        <f aca="false">G15+H14</f>
        <v>30920.88</v>
      </c>
      <c r="I15" s="17" t="n">
        <f aca="false">H15+I14</f>
        <v>29360.688</v>
      </c>
      <c r="J15" s="17" t="n">
        <f aca="false">I15+J14</f>
        <v>28473.12</v>
      </c>
      <c r="K15" s="17" t="n">
        <f aca="false">J15+K14</f>
        <v>27868.356</v>
      </c>
      <c r="L15" s="17" t="n">
        <f aca="false">K15+L14</f>
        <v>27346.396</v>
      </c>
      <c r="M15" s="17" t="n">
        <f aca="false">L15+M14</f>
        <v>27107.24</v>
      </c>
      <c r="N15" s="17" t="n">
        <f aca="false">M15+N14</f>
        <v>26950.888</v>
      </c>
      <c r="O15" s="17" t="n">
        <f aca="false">N15</f>
        <v>26950.888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5"/>
    <col collapsed="false" customWidth="true" hidden="false" outlineLevel="0" max="5" min="5" style="1" width="60"/>
    <col collapsed="false" customWidth="true" hidden="false" outlineLevel="0" max="6" min="6" style="1" width="18"/>
  </cols>
  <sheetData>
    <row r="1" customFormat="false" ht="36" hidden="false" customHeight="true" outlineLevel="0" collapsed="false">
      <c r="A1" s="2" t="s">
        <v>6</v>
      </c>
      <c r="B1" s="2"/>
      <c r="C1" s="2"/>
      <c r="D1" s="2"/>
      <c r="E1" s="2"/>
      <c r="F1" s="2"/>
    </row>
    <row r="2" customFormat="false" ht="31.5" hidden="false" customHeight="true" outlineLevel="0" collapsed="false">
      <c r="A2" s="3" t="s">
        <v>362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6" t="s">
        <v>363</v>
      </c>
      <c r="B4" s="6" t="s">
        <v>364</v>
      </c>
      <c r="C4" s="6" t="s">
        <v>365</v>
      </c>
      <c r="D4" s="6" t="s">
        <v>366</v>
      </c>
      <c r="E4" s="6" t="s">
        <v>367</v>
      </c>
      <c r="F4" s="6" t="s">
        <v>368</v>
      </c>
    </row>
    <row r="5" customFormat="false" ht="21.75" hidden="false" customHeight="true" outlineLevel="0" collapsed="false">
      <c r="A5" s="8" t="s">
        <v>369</v>
      </c>
      <c r="B5" s="29" t="n">
        <v>8200</v>
      </c>
      <c r="C5" s="18" t="n">
        <f aca="false">B5/$B$13</f>
        <v>0.120588235294118</v>
      </c>
      <c r="D5" s="8" t="s">
        <v>370</v>
      </c>
      <c r="E5" s="8" t="s">
        <v>371</v>
      </c>
      <c r="F5" s="8" t="s">
        <v>372</v>
      </c>
    </row>
    <row r="6" customFormat="false" ht="15" hidden="false" customHeight="true" outlineLevel="0" collapsed="false">
      <c r="A6" s="8" t="s">
        <v>373</v>
      </c>
      <c r="B6" s="29" t="n">
        <v>7600</v>
      </c>
      <c r="C6" s="18" t="n">
        <f aca="false">B6/$B$13</f>
        <v>0.111764705882353</v>
      </c>
      <c r="D6" s="8" t="s">
        <v>374</v>
      </c>
      <c r="E6" s="8" t="s">
        <v>375</v>
      </c>
      <c r="F6" s="8" t="s">
        <v>372</v>
      </c>
    </row>
    <row r="7" customFormat="false" ht="21.75" hidden="false" customHeight="true" outlineLevel="0" collapsed="false">
      <c r="A7" s="8" t="s">
        <v>376</v>
      </c>
      <c r="B7" s="29" t="n">
        <v>4800</v>
      </c>
      <c r="C7" s="18" t="n">
        <f aca="false">B7/$B$13</f>
        <v>0.0705882352941177</v>
      </c>
      <c r="D7" s="8" t="s">
        <v>377</v>
      </c>
      <c r="E7" s="8" t="s">
        <v>378</v>
      </c>
      <c r="F7" s="8" t="s">
        <v>372</v>
      </c>
    </row>
    <row r="8" customFormat="false" ht="15" hidden="false" customHeight="true" outlineLevel="0" collapsed="false">
      <c r="A8" s="8" t="s">
        <v>379</v>
      </c>
      <c r="B8" s="29" t="n">
        <v>3200</v>
      </c>
      <c r="C8" s="18" t="n">
        <f aca="false">B8/$B$13</f>
        <v>0.0470588235294118</v>
      </c>
      <c r="D8" s="8" t="s">
        <v>380</v>
      </c>
      <c r="E8" s="8" t="s">
        <v>381</v>
      </c>
      <c r="F8" s="8" t="s">
        <v>372</v>
      </c>
    </row>
    <row r="9" customFormat="false" ht="21.75" hidden="false" customHeight="true" outlineLevel="0" collapsed="false">
      <c r="A9" s="8" t="s">
        <v>382</v>
      </c>
      <c r="B9" s="29" t="n">
        <v>8500</v>
      </c>
      <c r="C9" s="18" t="n">
        <f aca="false">B9/$B$13</f>
        <v>0.125</v>
      </c>
      <c r="D9" s="8" t="s">
        <v>383</v>
      </c>
      <c r="E9" s="8" t="s">
        <v>384</v>
      </c>
      <c r="F9" s="8" t="s">
        <v>75</v>
      </c>
    </row>
    <row r="10" customFormat="false" ht="15" hidden="false" customHeight="true" outlineLevel="0" collapsed="false">
      <c r="A10" s="8" t="s">
        <v>385</v>
      </c>
      <c r="B10" s="29" t="n">
        <v>20500</v>
      </c>
      <c r="C10" s="18" t="n">
        <f aca="false">B10/$B$13</f>
        <v>0.301470588235294</v>
      </c>
      <c r="D10" s="8" t="s">
        <v>386</v>
      </c>
      <c r="E10" s="8" t="s">
        <v>387</v>
      </c>
      <c r="F10" s="8" t="s">
        <v>75</v>
      </c>
    </row>
    <row r="11" customFormat="false" ht="21.75" hidden="false" customHeight="true" outlineLevel="0" collapsed="false">
      <c r="A11" s="8" t="s">
        <v>388</v>
      </c>
      <c r="B11" s="29" t="n">
        <v>2600</v>
      </c>
      <c r="C11" s="18" t="n">
        <f aca="false">B11/$B$13</f>
        <v>0.0382352941176471</v>
      </c>
      <c r="D11" s="8" t="s">
        <v>389</v>
      </c>
      <c r="E11" s="8" t="s">
        <v>390</v>
      </c>
      <c r="F11" s="8" t="s">
        <v>75</v>
      </c>
    </row>
    <row r="12" customFormat="false" ht="15" hidden="false" customHeight="true" outlineLevel="0" collapsed="false">
      <c r="A12" s="8" t="s">
        <v>391</v>
      </c>
      <c r="B12" s="29" t="n">
        <v>12600</v>
      </c>
      <c r="C12" s="18" t="n">
        <f aca="false">B12/$B$13</f>
        <v>0.185294117647059</v>
      </c>
      <c r="D12" s="8" t="s">
        <v>392</v>
      </c>
      <c r="E12" s="8" t="s">
        <v>393</v>
      </c>
      <c r="F12" s="8" t="s">
        <v>75</v>
      </c>
    </row>
    <row r="13" customFormat="false" ht="15" hidden="false" customHeight="true" outlineLevel="0" collapsed="false">
      <c r="A13" s="8" t="s">
        <v>394</v>
      </c>
      <c r="B13" s="29" t="n">
        <f aca="false">SUM(B5:B12)</f>
        <v>68000</v>
      </c>
      <c r="C13" s="18" t="n">
        <f aca="false">100%</f>
        <v>1</v>
      </c>
      <c r="D13" s="8"/>
      <c r="E13" s="8"/>
      <c r="F13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5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30"/>
  </cols>
  <sheetData>
    <row r="1" customFormat="false" ht="36" hidden="false" customHeight="true" outlineLevel="0" collapsed="false">
      <c r="A1" s="2" t="s">
        <v>395</v>
      </c>
      <c r="B1" s="2"/>
      <c r="C1" s="2"/>
      <c r="D1" s="2"/>
      <c r="E1" s="2"/>
      <c r="F1" s="2"/>
      <c r="G1" s="2"/>
      <c r="H1" s="2"/>
      <c r="I1" s="2"/>
    </row>
    <row r="2" customFormat="false" ht="31.5" hidden="false" customHeight="true" outlineLevel="0" collapsed="false">
      <c r="A2" s="3" t="s">
        <v>396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6" t="s">
        <v>397</v>
      </c>
      <c r="B4" s="6" t="s">
        <v>398</v>
      </c>
      <c r="C4" s="6" t="s">
        <v>100</v>
      </c>
      <c r="D4" s="6" t="s">
        <v>399</v>
      </c>
      <c r="E4" s="6" t="s">
        <v>102</v>
      </c>
      <c r="F4" s="6" t="s">
        <v>103</v>
      </c>
      <c r="G4" s="6" t="s">
        <v>400</v>
      </c>
      <c r="H4" s="6" t="s">
        <v>401</v>
      </c>
      <c r="I4" s="6" t="s">
        <v>402</v>
      </c>
    </row>
    <row r="5" customFormat="false" ht="15" hidden="false" customHeight="true" outlineLevel="0" collapsed="false">
      <c r="A5" s="8" t="s">
        <v>15</v>
      </c>
      <c r="B5" s="17" t="n">
        <f aca="false">'Экономика дня'!C5*(1+0)</f>
        <v>44.35</v>
      </c>
      <c r="C5" s="17" t="n">
        <f aca="false">'Экономика дня'!C6*(1+0)</f>
        <v>13.35</v>
      </c>
      <c r="D5" s="17" t="n">
        <f aca="false">'Экономика дня'!C7*(1+0)</f>
        <v>5.5</v>
      </c>
      <c r="E5" s="17" t="n">
        <f aca="false">'Экономика дня'!C8*(1+0)</f>
        <v>3.2</v>
      </c>
      <c r="F5" s="17" t="n">
        <f aca="false">'Экономика дня'!C9*(1+0)</f>
        <v>2.8</v>
      </c>
      <c r="G5" s="17" t="n">
        <f aca="false">B5-SUM(C5:F5)-'Экономика дня'!C10-'Экономика дня'!C11-'Экономика дня'!C12-'Экономика дня'!C13</f>
        <v>14.1402</v>
      </c>
      <c r="H5" s="17" t="n">
        <f aca="false">G5*60*26-INDEX('Исходные данные'!$K$8:$K$29,MATCH("A21",'Исходные данные'!$J$8:$J$29,0))-3600</f>
        <v>6458.712</v>
      </c>
      <c r="I5" s="19" t="str">
        <f aca="false">IF(H5&lt;0,"УБЫТОК — НУЖНО ИЗМЕНЕНИЕ",IF(G5/B5&lt;25%,"НИЗКИЙ ЗАПАС","УСТОЙЧИВО"))</f>
        <v>УСТОЙЧИВО</v>
      </c>
    </row>
    <row r="6" customFormat="false" ht="15" hidden="false" customHeight="true" outlineLevel="0" collapsed="false">
      <c r="A6" s="8" t="s">
        <v>403</v>
      </c>
      <c r="B6" s="17" t="n">
        <f aca="false">'Экономика дня'!C5*(1+-0.05)</f>
        <v>42.1325</v>
      </c>
      <c r="C6" s="17" t="n">
        <f aca="false">'Экономика дня'!C6*(1+0)</f>
        <v>13.35</v>
      </c>
      <c r="D6" s="17" t="n">
        <f aca="false">'Экономика дня'!C7*(1+0)</f>
        <v>5.5</v>
      </c>
      <c r="E6" s="17" t="n">
        <f aca="false">'Экономика дня'!C8*(1+0)</f>
        <v>3.2</v>
      </c>
      <c r="F6" s="17" t="n">
        <f aca="false">'Экономика дня'!C9*(1+0)</f>
        <v>2.8</v>
      </c>
      <c r="G6" s="17" t="n">
        <f aca="false">B6-SUM(C6:F6)-'Экономика дня'!C10-'Экономика дня'!C11-'Экономика дня'!C12-'Экономика дня'!C13</f>
        <v>11.9227</v>
      </c>
      <c r="H6" s="17" t="n">
        <f aca="false">G6*60*26-INDEX('Исходные данные'!$K$8:$K$29,MATCH("A21",'Исходные данные'!$J$8:$J$29,0))-3600</f>
        <v>2999.412</v>
      </c>
      <c r="I6" s="19" t="str">
        <f aca="false">IF(H6&lt;0,"УБЫТОК — НУЖНО ИЗМЕНЕНИЕ",IF(G6/B6&lt;25%,"НИЗКИЙ ЗАПАС","УСТОЙЧИВО"))</f>
        <v>УСТОЙЧИВО</v>
      </c>
    </row>
    <row r="7" customFormat="false" ht="15" hidden="false" customHeight="true" outlineLevel="0" collapsed="false">
      <c r="A7" s="8" t="s">
        <v>404</v>
      </c>
      <c r="B7" s="17" t="n">
        <f aca="false">'Экономика дня'!C5*(1+-0.1)</f>
        <v>39.915</v>
      </c>
      <c r="C7" s="17" t="n">
        <f aca="false">'Экономика дня'!C6*(1+0)</f>
        <v>13.35</v>
      </c>
      <c r="D7" s="17" t="n">
        <f aca="false">'Экономика дня'!C7*(1+0)</f>
        <v>5.5</v>
      </c>
      <c r="E7" s="17" t="n">
        <f aca="false">'Экономика дня'!C8*(1+0)</f>
        <v>3.2</v>
      </c>
      <c r="F7" s="17" t="n">
        <f aca="false">'Экономика дня'!C9*(1+0)</f>
        <v>2.8</v>
      </c>
      <c r="G7" s="17" t="n">
        <f aca="false">B7-SUM(C7:F7)-'Экономика дня'!C10-'Экономика дня'!C11-'Экономика дня'!C12-'Экономика дня'!C13</f>
        <v>9.7052</v>
      </c>
      <c r="H7" s="17" t="n">
        <f aca="false">G7*60*26-INDEX('Исходные данные'!$K$8:$K$29,MATCH("A21",'Исходные данные'!$J$8:$J$29,0))-3600</f>
        <v>-459.887999999999</v>
      </c>
      <c r="I7" s="19" t="str">
        <f aca="false">IF(H7&lt;0,"УБЫТОК — НУЖНО ИЗМЕНЕНИЕ",IF(G7/B7&lt;25%,"НИЗКИЙ ЗАПАС","УСТОЙЧИВО"))</f>
        <v>УБЫТОК — НУЖНО ИЗМЕНЕНИЕ</v>
      </c>
    </row>
    <row r="8" customFormat="false" ht="15" hidden="false" customHeight="true" outlineLevel="0" collapsed="false">
      <c r="A8" s="8" t="s">
        <v>405</v>
      </c>
      <c r="B8" s="17" t="n">
        <f aca="false">'Экономика дня'!C5*(1+0)</f>
        <v>44.35</v>
      </c>
      <c r="C8" s="17" t="n">
        <f aca="false">'Экономика дня'!C6*(1+0.1)</f>
        <v>14.685</v>
      </c>
      <c r="D8" s="17" t="n">
        <f aca="false">'Экономика дня'!C7*(1+0)</f>
        <v>5.5</v>
      </c>
      <c r="E8" s="17" t="n">
        <f aca="false">'Экономика дня'!C8*(1+0)</f>
        <v>3.2</v>
      </c>
      <c r="F8" s="17" t="n">
        <f aca="false">'Экономика дня'!C9*(1+0)</f>
        <v>2.8</v>
      </c>
      <c r="G8" s="17" t="n">
        <f aca="false">B8-SUM(C8:F8)-'Экономика дня'!C10-'Экономика дня'!C11-'Экономика дня'!C12-'Экономика дня'!C13</f>
        <v>12.8052</v>
      </c>
      <c r="H8" s="17" t="n">
        <f aca="false">G8*60*26-INDEX('Исходные данные'!$K$8:$K$29,MATCH("A21",'Исходные данные'!$J$8:$J$29,0))-3600</f>
        <v>4376.112</v>
      </c>
      <c r="I8" s="19" t="str">
        <f aca="false">IF(H8&lt;0,"УБЫТОК — НУЖНО ИЗМЕНЕНИЕ",IF(G8/B8&lt;25%,"НИЗКИЙ ЗАПАС","УСТОЙЧИВО"))</f>
        <v>УСТОЙЧИВО</v>
      </c>
    </row>
    <row r="9" customFormat="false" ht="15" hidden="false" customHeight="true" outlineLevel="0" collapsed="false">
      <c r="A9" s="8" t="s">
        <v>406</v>
      </c>
      <c r="B9" s="17" t="n">
        <f aca="false">'Экономика дня'!C5*(1+0)</f>
        <v>44.35</v>
      </c>
      <c r="C9" s="17" t="n">
        <f aca="false">'Экономика дня'!C6*(1+0.2)</f>
        <v>16.02</v>
      </c>
      <c r="D9" s="17" t="n">
        <f aca="false">'Экономика дня'!C7*(1+0)</f>
        <v>5.5</v>
      </c>
      <c r="E9" s="17" t="n">
        <f aca="false">'Экономика дня'!C8*(1+0)</f>
        <v>3.2</v>
      </c>
      <c r="F9" s="17" t="n">
        <f aca="false">'Экономика дня'!C9*(1+0)</f>
        <v>2.8</v>
      </c>
      <c r="G9" s="17" t="n">
        <f aca="false">B9-SUM(C9:F9)-'Экономика дня'!C10-'Экономика дня'!C11-'Экономика дня'!C12-'Экономика дня'!C13</f>
        <v>11.4702</v>
      </c>
      <c r="H9" s="17" t="n">
        <f aca="false">G9*60*26-INDEX('Исходные данные'!$K$8:$K$29,MATCH("A21",'Исходные данные'!$J$8:$J$29,0))-3600</f>
        <v>2293.51200000001</v>
      </c>
      <c r="I9" s="19" t="str">
        <f aca="false">IF(H9&lt;0,"УБЫТОК — НУЖНО ИЗМЕНЕНИЕ",IF(G9/B9&lt;25%,"НИЗКИЙ ЗАПАС","УСТОЙЧИВО"))</f>
        <v>УСТОЙЧИВО</v>
      </c>
    </row>
    <row r="10" customFormat="false" ht="15" hidden="false" customHeight="true" outlineLevel="0" collapsed="false">
      <c r="A10" s="8" t="s">
        <v>407</v>
      </c>
      <c r="B10" s="17" t="n">
        <f aca="false">'Экономика дня'!C5*(1+0)</f>
        <v>44.35</v>
      </c>
      <c r="C10" s="17" t="n">
        <f aca="false">'Экономика дня'!C6*(1+0)</f>
        <v>13.35</v>
      </c>
      <c r="D10" s="17" t="n">
        <f aca="false">'Экономика дня'!C7*(1+0.2)</f>
        <v>6.6</v>
      </c>
      <c r="E10" s="17" t="n">
        <f aca="false">'Экономика дня'!C8*(1+0)</f>
        <v>3.2</v>
      </c>
      <c r="F10" s="17" t="n">
        <f aca="false">'Экономика дня'!C9*(1+0)</f>
        <v>2.8</v>
      </c>
      <c r="G10" s="17" t="n">
        <f aca="false">B10-SUM(C10:F10)-'Экономика дня'!C10-'Экономика дня'!C11-'Экономика дня'!C12-'Экономика дня'!C13</f>
        <v>13.0402</v>
      </c>
      <c r="H10" s="17" t="n">
        <f aca="false">G10*60*26-INDEX('Исходные данные'!$K$8:$K$29,MATCH("A21",'Исходные данные'!$J$8:$J$29,0))-3600</f>
        <v>4742.712</v>
      </c>
      <c r="I10" s="19" t="str">
        <f aca="false">IF(H10&lt;0,"УБЫТОК — НУЖНО ИЗМЕНЕНИЕ",IF(G10/B10&lt;25%,"НИЗКИЙ ЗАПАС","УСТОЙЧИВО"))</f>
        <v>УСТОЙЧИВО</v>
      </c>
    </row>
    <row r="11" customFormat="false" ht="15" hidden="false" customHeight="true" outlineLevel="0" collapsed="false">
      <c r="A11" s="8" t="s">
        <v>408</v>
      </c>
      <c r="B11" s="17" t="n">
        <f aca="false">'Экономика дня'!C5*(1+0)</f>
        <v>44.35</v>
      </c>
      <c r="C11" s="17" t="n">
        <f aca="false">'Экономика дня'!C6*(1+0)</f>
        <v>13.35</v>
      </c>
      <c r="D11" s="17" t="n">
        <f aca="false">'Экономика дня'!C7*(1+0)</f>
        <v>5.5</v>
      </c>
      <c r="E11" s="17" t="n">
        <f aca="false">'Экономика дня'!C8*(1+0.2)</f>
        <v>3.84</v>
      </c>
      <c r="F11" s="17" t="n">
        <f aca="false">'Экономика дня'!C9*(1+0)</f>
        <v>2.8</v>
      </c>
      <c r="G11" s="17" t="n">
        <f aca="false">B11-SUM(C11:F11)-'Экономика дня'!C10-'Экономика дня'!C11-'Экономика дня'!C12-'Экономика дня'!C13</f>
        <v>13.5002</v>
      </c>
      <c r="H11" s="17" t="n">
        <f aca="false">G11*60*26-INDEX('Исходные данные'!$K$8:$K$29,MATCH("A21",'Исходные данные'!$J$8:$J$29,0))-3600</f>
        <v>5460.312</v>
      </c>
      <c r="I11" s="19" t="str">
        <f aca="false">IF(H11&lt;0,"УБЫТОК — НУЖНО ИЗМЕНЕНИЕ",IF(G11/B11&lt;25%,"НИЗКИЙ ЗАПАС","УСТОЙЧИВО"))</f>
        <v>УСТОЙЧИВО</v>
      </c>
    </row>
    <row r="12" customFormat="false" ht="15" hidden="false" customHeight="true" outlineLevel="0" collapsed="false">
      <c r="A12" s="8" t="s">
        <v>409</v>
      </c>
      <c r="B12" s="17" t="n">
        <f aca="false">'Экономика дня'!C5*(1+0)</f>
        <v>44.35</v>
      </c>
      <c r="C12" s="17" t="n">
        <f aca="false">'Экономика дня'!C6*(1+0)</f>
        <v>13.35</v>
      </c>
      <c r="D12" s="17" t="n">
        <f aca="false">'Экономика дня'!C7*(1+0)</f>
        <v>5.5</v>
      </c>
      <c r="E12" s="17" t="n">
        <f aca="false">'Экономика дня'!C8*(1+0)</f>
        <v>3.2</v>
      </c>
      <c r="F12" s="17" t="n">
        <f aca="false">'Экономика дня'!C9*(1+0.2)</f>
        <v>3.36</v>
      </c>
      <c r="G12" s="17" t="n">
        <f aca="false">B12-SUM(C12:F12)-'Экономика дня'!C10-'Экономика дня'!C11-'Экономика дня'!C12-'Экономика дня'!C13</f>
        <v>13.5802</v>
      </c>
      <c r="H12" s="17" t="n">
        <f aca="false">G12*60*26-INDEX('Исходные данные'!$K$8:$K$29,MATCH("A21",'Исходные данные'!$J$8:$J$29,0))-3600</f>
        <v>5585.112</v>
      </c>
      <c r="I12" s="19" t="str">
        <f aca="false">IF(H12&lt;0,"УБЫТОК — НУЖНО ИЗМЕНЕНИЕ",IF(G12/B12&lt;25%,"НИЗКИЙ ЗАПАС","УСТОЙЧИВО"))</f>
        <v>УСТОЙЧИВО</v>
      </c>
    </row>
    <row r="13" customFormat="false" ht="15" hidden="false" customHeight="true" outlineLevel="0" collapsed="false">
      <c r="A13" s="8" t="s">
        <v>410</v>
      </c>
      <c r="B13" s="17" t="n">
        <f aca="false">'Экономика дня'!C5*(1+-0.05)</f>
        <v>42.1325</v>
      </c>
      <c r="C13" s="17" t="n">
        <f aca="false">'Экономика дня'!C6*(1+0.15)</f>
        <v>15.3525</v>
      </c>
      <c r="D13" s="17" t="n">
        <f aca="false">'Экономика дня'!C7*(1+0.15)</f>
        <v>6.325</v>
      </c>
      <c r="E13" s="17" t="n">
        <f aca="false">'Экономика дня'!C8*(1+0.1)</f>
        <v>3.52</v>
      </c>
      <c r="F13" s="17" t="n">
        <f aca="false">'Экономика дня'!C9*(1+0.15)</f>
        <v>3.22</v>
      </c>
      <c r="G13" s="17" t="n">
        <f aca="false">B13-SUM(C13:F13)-'Экономика дня'!C10-'Экономика дня'!C11-'Экономика дня'!C12-'Экономика дня'!C13</f>
        <v>8.35520000000001</v>
      </c>
      <c r="H13" s="17" t="n">
        <f aca="false">G13*60*26-INDEX('Исходные данные'!$K$8:$K$29,MATCH("A21",'Исходные данные'!$J$8:$J$29,0))-3600</f>
        <v>-2565.88799999999</v>
      </c>
      <c r="I13" s="19" t="str">
        <f aca="false">IF(H13&lt;0,"УБЫТОК — НУЖНО ИЗМЕНЕНИЕ",IF(G13/B13&lt;25%,"НИЗКИЙ ЗАПАС","УСТОЙЧИВО"))</f>
        <v>УБЫТОК — НУЖНО ИЗМЕНЕНИЕ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60"/>
    <col collapsed="false" customWidth="true" hidden="false" outlineLevel="0" max="4" min="3" style="1" width="20"/>
    <col collapsed="false" customWidth="true" hidden="false" outlineLevel="0" max="5" min="5" style="1" width="26"/>
  </cols>
  <sheetData>
    <row r="1" customFormat="false" ht="36" hidden="false" customHeight="true" outlineLevel="0" collapsed="false">
      <c r="A1" s="2" t="s">
        <v>411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412</v>
      </c>
      <c r="B2" s="3"/>
      <c r="C2" s="3"/>
      <c r="D2" s="3"/>
      <c r="E2" s="3"/>
    </row>
    <row r="4" customFormat="false" ht="31.5" hidden="false" customHeight="true" outlineLevel="0" collapsed="false">
      <c r="A4" s="6" t="s">
        <v>413</v>
      </c>
      <c r="B4" s="6" t="s">
        <v>414</v>
      </c>
      <c r="C4" s="6" t="s">
        <v>367</v>
      </c>
      <c r="D4" s="6" t="s">
        <v>126</v>
      </c>
      <c r="E4" s="6" t="s">
        <v>19</v>
      </c>
    </row>
    <row r="5" customFormat="false" ht="15" hidden="false" customHeight="true" outlineLevel="0" collapsed="false">
      <c r="A5" s="8" t="s">
        <v>415</v>
      </c>
      <c r="B5" s="8" t="s">
        <v>416</v>
      </c>
      <c r="C5" s="19" t="n">
        <f aca="false">SUM('Движение денег'!B7:AK7)</f>
        <v>68000</v>
      </c>
      <c r="D5" s="19" t="n">
        <v>68000</v>
      </c>
      <c r="E5" s="19" t="str">
        <f aca="false">IF(ABS(C5-68000)&lt;0.01,"ПРОЙДЕНО","ОШИБКА")</f>
        <v>ПРОЙДЕНО</v>
      </c>
    </row>
    <row r="6" customFormat="false" ht="15" hidden="false" customHeight="true" outlineLevel="0" collapsed="false">
      <c r="A6" s="8" t="s">
        <v>417</v>
      </c>
      <c r="B6" s="8" t="s">
        <v>418</v>
      </c>
      <c r="C6" s="19" t="n">
        <f aca="false">COUNTIF('План 36 месяцев'!B19:AK19,"#DIV/0!")</f>
        <v>0</v>
      </c>
      <c r="D6" s="19" t="n">
        <v>0</v>
      </c>
      <c r="E6" s="19" t="str">
        <f aca="false">IF(C6=0,"ПРОЙДЕНО","ОШИБКА")</f>
        <v>ПРОЙДЕНО</v>
      </c>
    </row>
    <row r="7" customFormat="false" ht="21.75" hidden="false" customHeight="true" outlineLevel="0" collapsed="false">
      <c r="A7" s="8" t="s">
        <v>419</v>
      </c>
      <c r="B7" s="8" t="s">
        <v>420</v>
      </c>
      <c r="C7" s="19" t="n">
        <f aca="false">SUMPRODUCT('План 36 месяцев'!B9:AK9,'План 36 месяцев'!B10:AK10)-SUM('План 36 месяцев'!B11:AK11)</f>
        <v>0</v>
      </c>
      <c r="D7" s="19" t="n">
        <v>0</v>
      </c>
      <c r="E7" s="19" t="str">
        <f aca="false">IF(ABS(C7)&lt;0.01,"ПРОЙДЕНО","ОШИБКА")</f>
        <v>ПРОЙДЕНО</v>
      </c>
    </row>
    <row r="8" customFormat="false" ht="15" hidden="false" customHeight="true" outlineLevel="0" collapsed="false">
      <c r="A8" s="8" t="s">
        <v>421</v>
      </c>
      <c r="B8" s="8" t="s">
        <v>422</v>
      </c>
      <c r="C8" s="19" t="n">
        <f aca="false">'Движение денег'!AK16-SUM('Движение денег'!B15:AK15)</f>
        <v>0</v>
      </c>
      <c r="D8" s="19" t="n">
        <v>0</v>
      </c>
      <c r="E8" s="19" t="str">
        <f aca="false">IF(ABS(C8)&lt;0.01,"ПРОЙДЕНО","ОШИБКА")</f>
        <v>ПРОЙДЕНО</v>
      </c>
    </row>
    <row r="9" customFormat="false" ht="15" hidden="false" customHeight="true" outlineLevel="0" collapsed="false">
      <c r="A9" s="8" t="s">
        <v>423</v>
      </c>
      <c r="B9" s="8" t="s">
        <v>424</v>
      </c>
      <c r="C9" s="18" t="n">
        <f aca="false">'Экономика дня'!C16</f>
        <v>0.318832018038331</v>
      </c>
      <c r="D9" s="18" t="n">
        <v>0.25</v>
      </c>
      <c r="E9" s="19" t="str">
        <f aca="false">IF(C9&gt;=D9,"ПРОЙДЕНО","ТРЕБУЕТ УЛУЧШЕНИЯ")</f>
        <v>ПРОЙДЕНО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72"/>
    <col collapsed="false" customWidth="true" hidden="false" outlineLevel="0" max="4" min="4" style="1" width="45"/>
    <col collapsed="false" customWidth="true" hidden="false" outlineLevel="0" max="5" min="5" style="1" width="50"/>
  </cols>
  <sheetData>
    <row r="1" customFormat="false" ht="36" hidden="false" customHeight="true" outlineLevel="0" collapsed="false">
      <c r="A1" s="2" t="s">
        <v>425</v>
      </c>
      <c r="B1" s="2"/>
      <c r="C1" s="2"/>
      <c r="D1" s="2"/>
      <c r="E1" s="2"/>
    </row>
    <row r="2" customFormat="false" ht="31.5" hidden="false" customHeight="true" outlineLevel="0" collapsed="false">
      <c r="A2" s="3" t="s">
        <v>426</v>
      </c>
      <c r="B2" s="3"/>
      <c r="C2" s="3"/>
      <c r="D2" s="3"/>
      <c r="E2" s="3"/>
    </row>
    <row r="4" customFormat="false" ht="31.5" hidden="false" customHeight="true" outlineLevel="0" collapsed="false">
      <c r="A4" s="6" t="s">
        <v>427</v>
      </c>
      <c r="B4" s="6" t="s">
        <v>428</v>
      </c>
      <c r="C4" s="6" t="s">
        <v>429</v>
      </c>
      <c r="D4" s="6" t="s">
        <v>430</v>
      </c>
      <c r="E4" s="6" t="s">
        <v>431</v>
      </c>
    </row>
    <row r="5" customFormat="false" ht="15" hidden="false" customHeight="true" outlineLevel="0" collapsed="false">
      <c r="A5" s="8" t="s">
        <v>432</v>
      </c>
      <c r="B5" s="10" t="s">
        <v>433</v>
      </c>
      <c r="C5" s="10" t="s">
        <v>434</v>
      </c>
      <c r="D5" s="8" t="s">
        <v>435</v>
      </c>
      <c r="E5" s="8" t="s">
        <v>436</v>
      </c>
    </row>
    <row r="6" customFormat="false" ht="15" hidden="false" customHeight="true" outlineLevel="0" collapsed="false">
      <c r="A6" s="8" t="s">
        <v>437</v>
      </c>
      <c r="B6" s="10" t="s">
        <v>438</v>
      </c>
      <c r="C6" s="10" t="s">
        <v>439</v>
      </c>
      <c r="D6" s="8" t="s">
        <v>440</v>
      </c>
      <c r="E6" s="8" t="s">
        <v>441</v>
      </c>
    </row>
    <row r="7" customFormat="false" ht="15" hidden="false" customHeight="true" outlineLevel="0" collapsed="false">
      <c r="A7" s="8" t="s">
        <v>100</v>
      </c>
      <c r="B7" s="10" t="s">
        <v>442</v>
      </c>
      <c r="C7" s="10" t="s">
        <v>443</v>
      </c>
      <c r="D7" s="8" t="s">
        <v>444</v>
      </c>
      <c r="E7" s="8" t="s">
        <v>445</v>
      </c>
    </row>
    <row r="8" customFormat="false" ht="15" hidden="false" customHeight="true" outlineLevel="0" collapsed="false">
      <c r="A8" s="8" t="s">
        <v>446</v>
      </c>
      <c r="B8" s="10" t="s">
        <v>447</v>
      </c>
      <c r="C8" s="10" t="s">
        <v>448</v>
      </c>
      <c r="D8" s="8" t="s">
        <v>449</v>
      </c>
      <c r="E8" s="8" t="s">
        <v>450</v>
      </c>
    </row>
    <row r="9" customFormat="false" ht="15" hidden="false" customHeight="true" outlineLevel="0" collapsed="false">
      <c r="A9" s="8" t="s">
        <v>102</v>
      </c>
      <c r="B9" s="10" t="s">
        <v>451</v>
      </c>
      <c r="C9" s="10" t="s">
        <v>452</v>
      </c>
      <c r="D9" s="8" t="s">
        <v>453</v>
      </c>
      <c r="E9" s="8" t="s">
        <v>454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2026-08-10T00:32:30Z</dcterms:created>
  <dc:creator>openpyxl</dc:creator>
  <dc:description/>
  <dc:language>en-US</dc:language>
  <cp:lastModifiedBy/>
  <dcterms:modified xsi:type="dcterms:W3CDTF">2026-08-10T00:56:54Z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